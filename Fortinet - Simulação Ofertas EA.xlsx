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tssbr-my.sharepoint.com/personal/julio_araujo_globalhitss_com_br/Documents/Fortinet/"/>
    </mc:Choice>
  </mc:AlternateContent>
  <xr:revisionPtr revIDLastSave="549" documentId="8_{E190E389-15F1-4E41-9CED-8A651478A8D4}" xr6:coauthVersionLast="47" xr6:coauthVersionMax="47" xr10:uidLastSave="{F168C356-B28E-4F41-AA0A-29B16CCBB9CB}"/>
  <bookViews>
    <workbookView xWindow="-24120" yWindow="-120" windowWidth="24240" windowHeight="13020" firstSheet="1" activeTab="2" xr2:uid="{747FBE2C-3CB7-4571-AEAD-3491AB9549E0}"/>
  </bookViews>
  <sheets>
    <sheet name="SIMULAÇÃO EA" sheetId="3" state="hidden" r:id="rId1"/>
    <sheet name="OFERTA EA FORTINET" sheetId="7" r:id="rId2"/>
    <sheet name="TABELA DE PREÇO" sheetId="4" r:id="rId3"/>
    <sheet name="VALOR HARDWARE" sheetId="5" r:id="rId4"/>
    <sheet name="OFERTA EA FORTINET OLD" sheetId="6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6" i="7" l="1"/>
  <c r="M65" i="7"/>
  <c r="M64" i="7"/>
  <c r="M63" i="7"/>
  <c r="M62" i="7"/>
  <c r="M61" i="7"/>
  <c r="M60" i="7"/>
  <c r="M59" i="7"/>
  <c r="M58" i="7"/>
  <c r="M57" i="7"/>
  <c r="M56" i="7"/>
  <c r="L8" i="7"/>
  <c r="L56" i="7"/>
  <c r="L57" i="7"/>
  <c r="L58" i="7"/>
  <c r="L59" i="7"/>
  <c r="L60" i="7"/>
  <c r="L61" i="7"/>
  <c r="L62" i="7"/>
  <c r="L63" i="7"/>
  <c r="L64" i="7"/>
  <c r="L65" i="7"/>
  <c r="L66" i="7"/>
  <c r="L67" i="7"/>
  <c r="M67" i="7" s="1"/>
  <c r="J9" i="7"/>
  <c r="D17" i="7"/>
  <c r="D16" i="7"/>
  <c r="I5" i="7" s="1"/>
  <c r="H9" i="6"/>
  <c r="C12" i="7"/>
  <c r="G9" i="7" s="1"/>
  <c r="C11" i="7"/>
  <c r="C13" i="7"/>
  <c r="G12" i="7" s="1"/>
  <c r="B8" i="4"/>
  <c r="B7" i="4"/>
  <c r="B65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16" i="6"/>
  <c r="E5" i="6"/>
  <c r="D15" i="6"/>
  <c r="C14" i="6"/>
  <c r="J15" i="6"/>
  <c r="K9" i="6"/>
  <c r="J9" i="6"/>
  <c r="G15" i="6"/>
  <c r="G9" i="6"/>
  <c r="M15" i="6"/>
  <c r="N9" i="6"/>
  <c r="M9" i="6"/>
  <c r="D9" i="3"/>
  <c r="G15" i="3"/>
  <c r="M9" i="3"/>
  <c r="J9" i="3"/>
  <c r="G9" i="3"/>
  <c r="M15" i="3"/>
  <c r="N15" i="3" s="1"/>
  <c r="J15" i="3"/>
  <c r="N10" i="3"/>
  <c r="N11" i="3" s="1"/>
  <c r="N9" i="3"/>
  <c r="N8" i="3"/>
  <c r="N7" i="3"/>
  <c r="K9" i="3"/>
  <c r="H9" i="3"/>
  <c r="K7" i="3"/>
  <c r="H7" i="3"/>
  <c r="K10" i="3"/>
  <c r="H10" i="3"/>
  <c r="K8" i="3"/>
  <c r="H8" i="3"/>
  <c r="P12" i="3"/>
  <c r="P11" i="3"/>
  <c r="P9" i="3"/>
  <c r="P8" i="3"/>
  <c r="P7" i="3"/>
  <c r="P5" i="3"/>
  <c r="P4" i="3"/>
  <c r="F2" i="3"/>
  <c r="G58" i="3" s="1"/>
  <c r="H58" i="3" s="1"/>
  <c r="H15" i="3"/>
  <c r="D10" i="3"/>
  <c r="L9" i="7" l="1"/>
  <c r="J7" i="7"/>
  <c r="H7" i="6"/>
  <c r="C12" i="6"/>
  <c r="C13" i="6"/>
  <c r="G7" i="7"/>
  <c r="I9" i="7"/>
  <c r="D18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7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63" i="6"/>
  <c r="H6" i="6"/>
  <c r="N7" i="6"/>
  <c r="M62" i="6"/>
  <c r="N62" i="6" s="1"/>
  <c r="M16" i="6"/>
  <c r="M17" i="6" s="1"/>
  <c r="M63" i="6"/>
  <c r="N63" i="6" s="1"/>
  <c r="J63" i="3"/>
  <c r="K63" i="3" s="1"/>
  <c r="J16" i="3"/>
  <c r="J17" i="3" s="1"/>
  <c r="M57" i="3"/>
  <c r="N57" i="3" s="1"/>
  <c r="M37" i="3"/>
  <c r="N37" i="3" s="1"/>
  <c r="M38" i="3"/>
  <c r="N38" i="3" s="1"/>
  <c r="J47" i="3"/>
  <c r="K47" i="3" s="1"/>
  <c r="J54" i="3"/>
  <c r="K54" i="3" s="1"/>
  <c r="M43" i="3"/>
  <c r="N43" i="3" s="1"/>
  <c r="M61" i="3"/>
  <c r="N61" i="3" s="1"/>
  <c r="M62" i="3"/>
  <c r="N62" i="3" s="1"/>
  <c r="G63" i="3"/>
  <c r="H63" i="3" s="1"/>
  <c r="J56" i="3"/>
  <c r="K56" i="3" s="1"/>
  <c r="M45" i="3"/>
  <c r="N45" i="3" s="1"/>
  <c r="M63" i="3"/>
  <c r="N63" i="3" s="1"/>
  <c r="M33" i="3"/>
  <c r="N33" i="3" s="1"/>
  <c r="J45" i="3"/>
  <c r="K45" i="3" s="1"/>
  <c r="M39" i="3"/>
  <c r="N39" i="3" s="1"/>
  <c r="G16" i="3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H51" i="3" s="1"/>
  <c r="M44" i="3"/>
  <c r="N44" i="3" s="1"/>
  <c r="G62" i="3"/>
  <c r="H62" i="3" s="1"/>
  <c r="J57" i="3"/>
  <c r="K57" i="3" s="1"/>
  <c r="M46" i="3"/>
  <c r="N46" i="3" s="1"/>
  <c r="G60" i="3"/>
  <c r="H60" i="3" s="1"/>
  <c r="J59" i="3"/>
  <c r="K59" i="3" s="1"/>
  <c r="M55" i="3"/>
  <c r="N55" i="3" s="1"/>
  <c r="M56" i="3"/>
  <c r="N56" i="3" s="1"/>
  <c r="M58" i="3"/>
  <c r="N58" i="3" s="1"/>
  <c r="J46" i="3"/>
  <c r="K46" i="3" s="1"/>
  <c r="M59" i="3"/>
  <c r="N59" i="3" s="1"/>
  <c r="M60" i="3"/>
  <c r="N60" i="3" s="1"/>
  <c r="J55" i="3"/>
  <c r="K55" i="3" s="1"/>
  <c r="G61" i="3"/>
  <c r="H61" i="3" s="1"/>
  <c r="J58" i="3"/>
  <c r="K58" i="3" s="1"/>
  <c r="M47" i="3"/>
  <c r="N47" i="3" s="1"/>
  <c r="M48" i="3"/>
  <c r="N48" i="3" s="1"/>
  <c r="J51" i="3"/>
  <c r="K51" i="3" s="1"/>
  <c r="M34" i="3"/>
  <c r="N34" i="3" s="1"/>
  <c r="M49" i="3"/>
  <c r="N49" i="3" s="1"/>
  <c r="K15" i="3"/>
  <c r="J52" i="3"/>
  <c r="K52" i="3" s="1"/>
  <c r="M35" i="3"/>
  <c r="N35" i="3" s="1"/>
  <c r="M50" i="3"/>
  <c r="N50" i="3" s="1"/>
  <c r="J53" i="3"/>
  <c r="K53" i="3" s="1"/>
  <c r="M36" i="3"/>
  <c r="N36" i="3" s="1"/>
  <c r="M51" i="3"/>
  <c r="N51" i="3" s="1"/>
  <c r="G57" i="3"/>
  <c r="H57" i="3" s="1"/>
  <c r="J48" i="3"/>
  <c r="K48" i="3" s="1"/>
  <c r="J60" i="3"/>
  <c r="K60" i="3" s="1"/>
  <c r="M40" i="3"/>
  <c r="N40" i="3" s="1"/>
  <c r="M52" i="3"/>
  <c r="N52" i="3" s="1"/>
  <c r="J49" i="3"/>
  <c r="K49" i="3" s="1"/>
  <c r="J61" i="3"/>
  <c r="K61" i="3" s="1"/>
  <c r="M41" i="3"/>
  <c r="N41" i="3" s="1"/>
  <c r="M53" i="3"/>
  <c r="N53" i="3" s="1"/>
  <c r="J50" i="3"/>
  <c r="K50" i="3" s="1"/>
  <c r="J62" i="3"/>
  <c r="K62" i="3" s="1"/>
  <c r="M42" i="3"/>
  <c r="N42" i="3" s="1"/>
  <c r="M54" i="3"/>
  <c r="N54" i="3" s="1"/>
  <c r="M16" i="3"/>
  <c r="K16" i="3"/>
  <c r="K11" i="3"/>
  <c r="H11" i="3"/>
  <c r="G59" i="3"/>
  <c r="H59" i="3" s="1"/>
  <c r="M9" i="7" l="1"/>
  <c r="M8" i="7"/>
  <c r="J10" i="7"/>
  <c r="L10" i="7"/>
  <c r="M10" i="7" s="1"/>
  <c r="J8" i="7"/>
  <c r="K6" i="6"/>
  <c r="H15" i="6"/>
  <c r="H8" i="6"/>
  <c r="H10" i="6"/>
  <c r="H11" i="6" s="1"/>
  <c r="N6" i="6"/>
  <c r="H17" i="3"/>
  <c r="H29" i="3"/>
  <c r="H18" i="3"/>
  <c r="H30" i="3"/>
  <c r="H22" i="3"/>
  <c r="H24" i="3"/>
  <c r="H21" i="3"/>
  <c r="H26" i="3"/>
  <c r="H19" i="3"/>
  <c r="G52" i="3"/>
  <c r="H52" i="3" s="1"/>
  <c r="H27" i="3"/>
  <c r="H16" i="3"/>
  <c r="H41" i="3"/>
  <c r="H37" i="3"/>
  <c r="H45" i="3"/>
  <c r="H36" i="3"/>
  <c r="H44" i="3"/>
  <c r="H42" i="3"/>
  <c r="H33" i="3"/>
  <c r="H39" i="3"/>
  <c r="H35" i="3"/>
  <c r="H34" i="3"/>
  <c r="H46" i="3"/>
  <c r="H48" i="3"/>
  <c r="H23" i="3"/>
  <c r="H50" i="3"/>
  <c r="H47" i="3"/>
  <c r="H40" i="3"/>
  <c r="H31" i="3"/>
  <c r="H25" i="3"/>
  <c r="H20" i="3"/>
  <c r="H28" i="3"/>
  <c r="H38" i="3"/>
  <c r="H32" i="3"/>
  <c r="H49" i="3"/>
  <c r="H43" i="3"/>
  <c r="M17" i="3"/>
  <c r="N16" i="3"/>
  <c r="J18" i="3"/>
  <c r="K17" i="3"/>
  <c r="L11" i="7" l="1"/>
  <c r="M11" i="7" s="1"/>
  <c r="J11" i="7"/>
  <c r="K10" i="6"/>
  <c r="K15" i="6"/>
  <c r="K17" i="6"/>
  <c r="K8" i="6"/>
  <c r="N10" i="6"/>
  <c r="N17" i="6" s="1"/>
  <c r="N8" i="6"/>
  <c r="H16" i="6"/>
  <c r="H17" i="6"/>
  <c r="M18" i="6"/>
  <c r="G53" i="3"/>
  <c r="H53" i="3" s="1"/>
  <c r="M18" i="3"/>
  <c r="N17" i="3"/>
  <c r="J19" i="3"/>
  <c r="K18" i="3"/>
  <c r="L12" i="7" l="1"/>
  <c r="M12" i="7" s="1"/>
  <c r="K16" i="6"/>
  <c r="K11" i="6"/>
  <c r="N16" i="6"/>
  <c r="N15" i="6"/>
  <c r="N11" i="6"/>
  <c r="K18" i="6"/>
  <c r="H18" i="6"/>
  <c r="M19" i="6"/>
  <c r="N18" i="6"/>
  <c r="G54" i="3"/>
  <c r="H54" i="3" s="1"/>
  <c r="M19" i="3"/>
  <c r="N18" i="3"/>
  <c r="J20" i="3"/>
  <c r="K19" i="3"/>
  <c r="L13" i="7" l="1"/>
  <c r="M13" i="7" s="1"/>
  <c r="K19" i="6"/>
  <c r="H19" i="6"/>
  <c r="M20" i="6"/>
  <c r="N19" i="6"/>
  <c r="G55" i="3"/>
  <c r="H55" i="3" s="1"/>
  <c r="M20" i="3"/>
  <c r="N19" i="3"/>
  <c r="J21" i="3"/>
  <c r="K20" i="3"/>
  <c r="G56" i="3"/>
  <c r="H56" i="3" s="1"/>
  <c r="L14" i="7" l="1"/>
  <c r="M14" i="7" s="1"/>
  <c r="K20" i="6"/>
  <c r="H20" i="6"/>
  <c r="M21" i="6"/>
  <c r="N20" i="6"/>
  <c r="H13" i="3"/>
  <c r="H12" i="3" s="1"/>
  <c r="M21" i="3"/>
  <c r="N20" i="3"/>
  <c r="J22" i="3"/>
  <c r="K21" i="3"/>
  <c r="L15" i="7" l="1"/>
  <c r="M15" i="7" s="1"/>
  <c r="K21" i="6"/>
  <c r="H21" i="6"/>
  <c r="M22" i="6"/>
  <c r="N21" i="6"/>
  <c r="M22" i="3"/>
  <c r="N21" i="3"/>
  <c r="J23" i="3"/>
  <c r="K22" i="3"/>
  <c r="L16" i="7" l="1"/>
  <c r="M16" i="7" s="1"/>
  <c r="K22" i="6"/>
  <c r="H22" i="6"/>
  <c r="M23" i="6"/>
  <c r="N22" i="6"/>
  <c r="M23" i="3"/>
  <c r="N22" i="3"/>
  <c r="J24" i="3"/>
  <c r="K23" i="3"/>
  <c r="L17" i="7" l="1"/>
  <c r="M17" i="7" s="1"/>
  <c r="K23" i="6"/>
  <c r="H23" i="6"/>
  <c r="M24" i="6"/>
  <c r="N23" i="6"/>
  <c r="M24" i="3"/>
  <c r="N23" i="3"/>
  <c r="J25" i="3"/>
  <c r="K24" i="3"/>
  <c r="L18" i="7" l="1"/>
  <c r="M18" i="7" s="1"/>
  <c r="K24" i="6"/>
  <c r="H24" i="6"/>
  <c r="M25" i="6"/>
  <c r="N24" i="6"/>
  <c r="M25" i="3"/>
  <c r="N24" i="3"/>
  <c r="J26" i="3"/>
  <c r="K25" i="3"/>
  <c r="L19" i="7" l="1"/>
  <c r="M19" i="7" s="1"/>
  <c r="K25" i="6"/>
  <c r="H25" i="6"/>
  <c r="M26" i="6"/>
  <c r="N25" i="6"/>
  <c r="M26" i="3"/>
  <c r="N25" i="3"/>
  <c r="K26" i="3"/>
  <c r="J27" i="3"/>
  <c r="L20" i="7" l="1"/>
  <c r="M20" i="7" s="1"/>
  <c r="K26" i="6"/>
  <c r="H26" i="6"/>
  <c r="M27" i="6"/>
  <c r="N26" i="6"/>
  <c r="N26" i="3"/>
  <c r="M27" i="3"/>
  <c r="J28" i="3"/>
  <c r="K27" i="3"/>
  <c r="L21" i="7" l="1"/>
  <c r="M21" i="7" s="1"/>
  <c r="K27" i="6"/>
  <c r="H27" i="6"/>
  <c r="M28" i="6"/>
  <c r="N27" i="6"/>
  <c r="M28" i="3"/>
  <c r="N27" i="3"/>
  <c r="K28" i="3"/>
  <c r="J29" i="3"/>
  <c r="L22" i="7" l="1"/>
  <c r="M22" i="7" s="1"/>
  <c r="K28" i="6"/>
  <c r="H28" i="6"/>
  <c r="M29" i="6"/>
  <c r="N28" i="6"/>
  <c r="N28" i="3"/>
  <c r="M29" i="3"/>
  <c r="K29" i="3"/>
  <c r="J30" i="3"/>
  <c r="L23" i="7" l="1"/>
  <c r="M23" i="7" s="1"/>
  <c r="K29" i="6"/>
  <c r="H29" i="6"/>
  <c r="M30" i="6"/>
  <c r="N29" i="6"/>
  <c r="N29" i="3"/>
  <c r="M30" i="3"/>
  <c r="J31" i="3"/>
  <c r="K30" i="3"/>
  <c r="L24" i="7" l="1"/>
  <c r="M24" i="7" s="1"/>
  <c r="K30" i="6"/>
  <c r="H30" i="6"/>
  <c r="M31" i="6"/>
  <c r="N30" i="6"/>
  <c r="N30" i="3"/>
  <c r="M31" i="3"/>
  <c r="J32" i="3"/>
  <c r="K31" i="3"/>
  <c r="L25" i="7" l="1"/>
  <c r="M25" i="7" s="1"/>
  <c r="K31" i="6"/>
  <c r="H31" i="6"/>
  <c r="M32" i="6"/>
  <c r="N31" i="6"/>
  <c r="N31" i="3"/>
  <c r="M32" i="3"/>
  <c r="N32" i="3" s="1"/>
  <c r="J33" i="3"/>
  <c r="K32" i="3"/>
  <c r="L26" i="7" l="1"/>
  <c r="M26" i="7" s="1"/>
  <c r="K32" i="6"/>
  <c r="H32" i="6"/>
  <c r="M33" i="6"/>
  <c r="N32" i="6"/>
  <c r="N13" i="3"/>
  <c r="N12" i="3" s="1"/>
  <c r="J34" i="3"/>
  <c r="K33" i="3"/>
  <c r="L27" i="7" l="1"/>
  <c r="M27" i="7" s="1"/>
  <c r="K33" i="6"/>
  <c r="H33" i="6"/>
  <c r="M34" i="6"/>
  <c r="N33" i="6"/>
  <c r="J35" i="3"/>
  <c r="K34" i="3"/>
  <c r="L28" i="7" l="1"/>
  <c r="M28" i="7" s="1"/>
  <c r="K34" i="6"/>
  <c r="H34" i="6"/>
  <c r="M35" i="6"/>
  <c r="N34" i="6"/>
  <c r="J36" i="3"/>
  <c r="K35" i="3"/>
  <c r="L29" i="7" l="1"/>
  <c r="M29" i="7" s="1"/>
  <c r="K35" i="6"/>
  <c r="H35" i="6"/>
  <c r="M36" i="6"/>
  <c r="N35" i="6"/>
  <c r="J37" i="3"/>
  <c r="K36" i="3"/>
  <c r="L30" i="7" l="1"/>
  <c r="M30" i="7" s="1"/>
  <c r="K36" i="6"/>
  <c r="H37" i="6"/>
  <c r="H36" i="6"/>
  <c r="M37" i="6"/>
  <c r="N36" i="6"/>
  <c r="J38" i="3"/>
  <c r="K37" i="3"/>
  <c r="L31" i="7" l="1"/>
  <c r="M31" i="7" s="1"/>
  <c r="K37" i="6"/>
  <c r="H13" i="6"/>
  <c r="H12" i="6" s="1"/>
  <c r="M38" i="6"/>
  <c r="N37" i="6"/>
  <c r="K38" i="3"/>
  <c r="J39" i="3"/>
  <c r="L32" i="7" l="1"/>
  <c r="M32" i="7" s="1"/>
  <c r="K38" i="6"/>
  <c r="M39" i="6"/>
  <c r="N38" i="6"/>
  <c r="K39" i="3"/>
  <c r="J40" i="3"/>
  <c r="L33" i="7" l="1"/>
  <c r="M33" i="7" s="1"/>
  <c r="K39" i="6"/>
  <c r="M40" i="6"/>
  <c r="N39" i="6"/>
  <c r="K40" i="3"/>
  <c r="J41" i="3"/>
  <c r="L34" i="7" l="1"/>
  <c r="M34" i="7" s="1"/>
  <c r="K40" i="6"/>
  <c r="M41" i="6"/>
  <c r="N40" i="6"/>
  <c r="K41" i="3"/>
  <c r="J42" i="3"/>
  <c r="L35" i="7" l="1"/>
  <c r="M35" i="7" s="1"/>
  <c r="K41" i="6"/>
  <c r="M42" i="6"/>
  <c r="N41" i="6"/>
  <c r="K42" i="3"/>
  <c r="J43" i="3"/>
  <c r="L36" i="7" l="1"/>
  <c r="M36" i="7" s="1"/>
  <c r="K42" i="6"/>
  <c r="M43" i="6"/>
  <c r="N42" i="6"/>
  <c r="K43" i="3"/>
  <c r="J44" i="3"/>
  <c r="K44" i="3" s="1"/>
  <c r="L37" i="7" l="1"/>
  <c r="M37" i="7" s="1"/>
  <c r="K43" i="6"/>
  <c r="M44" i="6"/>
  <c r="N43" i="6"/>
  <c r="K13" i="3"/>
  <c r="K12" i="3" s="1"/>
  <c r="L38" i="7" l="1"/>
  <c r="M38" i="7" s="1"/>
  <c r="K44" i="6"/>
  <c r="M45" i="6"/>
  <c r="N44" i="6"/>
  <c r="L39" i="7" l="1"/>
  <c r="M39" i="7" s="1"/>
  <c r="K45" i="6"/>
  <c r="M46" i="6"/>
  <c r="N45" i="6"/>
  <c r="L40" i="7" l="1"/>
  <c r="M40" i="7" s="1"/>
  <c r="K46" i="6"/>
  <c r="M47" i="6"/>
  <c r="N46" i="6"/>
  <c r="L41" i="7" l="1"/>
  <c r="M41" i="7" s="1"/>
  <c r="K47" i="6"/>
  <c r="M48" i="6"/>
  <c r="N47" i="6"/>
  <c r="L42" i="7" l="1"/>
  <c r="M42" i="7" s="1"/>
  <c r="K49" i="6"/>
  <c r="K48" i="6"/>
  <c r="M49" i="6"/>
  <c r="N48" i="6"/>
  <c r="L43" i="7" l="1"/>
  <c r="M43" i="7" s="1"/>
  <c r="K13" i="6"/>
  <c r="K12" i="6" s="1"/>
  <c r="M50" i="6"/>
  <c r="N49" i="6"/>
  <c r="L44" i="7" l="1"/>
  <c r="M44" i="7" s="1"/>
  <c r="M51" i="6"/>
  <c r="N50" i="6"/>
  <c r="L45" i="7" l="1"/>
  <c r="M45" i="7" s="1"/>
  <c r="M52" i="6"/>
  <c r="N51" i="6"/>
  <c r="L46" i="7" l="1"/>
  <c r="M46" i="7" s="1"/>
  <c r="M53" i="6"/>
  <c r="N52" i="6"/>
  <c r="L47" i="7" l="1"/>
  <c r="M47" i="7" s="1"/>
  <c r="M54" i="6"/>
  <c r="N53" i="6"/>
  <c r="L48" i="7" l="1"/>
  <c r="M48" i="7" s="1"/>
  <c r="M55" i="6"/>
  <c r="N54" i="6"/>
  <c r="L49" i="7" l="1"/>
  <c r="M49" i="7" s="1"/>
  <c r="M56" i="6"/>
  <c r="N55" i="6"/>
  <c r="L50" i="7" l="1"/>
  <c r="M50" i="7" s="1"/>
  <c r="N56" i="6"/>
  <c r="M57" i="6"/>
  <c r="L51" i="7" l="1"/>
  <c r="M51" i="7" s="1"/>
  <c r="M58" i="6"/>
  <c r="N57" i="6"/>
  <c r="L52" i="7" l="1"/>
  <c r="M52" i="7" s="1"/>
  <c r="M59" i="6"/>
  <c r="N58" i="6"/>
  <c r="L53" i="7" l="1"/>
  <c r="M53" i="7" s="1"/>
  <c r="M60" i="6"/>
  <c r="N59" i="6"/>
  <c r="L54" i="7" l="1"/>
  <c r="M54" i="7" s="1"/>
  <c r="M61" i="6"/>
  <c r="N61" i="6" s="1"/>
  <c r="N60" i="6"/>
  <c r="L55" i="7" l="1"/>
  <c r="M55" i="7" s="1"/>
  <c r="N13" i="6"/>
  <c r="N12" i="6" s="1"/>
  <c r="J15" i="7" l="1"/>
  <c r="J13" i="7" l="1"/>
  <c r="J16" i="7"/>
</calcChain>
</file>

<file path=xl/sharedStrings.xml><?xml version="1.0" encoding="utf-8"?>
<sst xmlns="http://schemas.openxmlformats.org/spreadsheetml/2006/main" count="327" uniqueCount="253">
  <si>
    <t>Impostos + Margens (%)</t>
  </si>
  <si>
    <t>Preço do HW (R$)</t>
  </si>
  <si>
    <t>Preço do HW (R$)?</t>
  </si>
  <si>
    <t>MÊS</t>
  </si>
  <si>
    <t>VALOR</t>
  </si>
  <si>
    <t>ANOS</t>
  </si>
  <si>
    <t>SIMULAÇÃO EA</t>
  </si>
  <si>
    <t>Preço do HW ($)?</t>
  </si>
  <si>
    <t>Valor Cambio</t>
  </si>
  <si>
    <t>Quantidade</t>
  </si>
  <si>
    <t>3 ANOS</t>
  </si>
  <si>
    <t>2 ANOS</t>
  </si>
  <si>
    <t>1 ANOS</t>
  </si>
  <si>
    <t>Preço da Licença</t>
  </si>
  <si>
    <t>Data Instalação</t>
  </si>
  <si>
    <t>Valor Mês</t>
  </si>
  <si>
    <t>Rapasse de Desconto da Licença para o Cliente</t>
  </si>
  <si>
    <t>Preço da Licença(R$)?</t>
  </si>
  <si>
    <t>Valor Total + Margem</t>
  </si>
  <si>
    <t>Custo Operacional anos (R$)</t>
  </si>
  <si>
    <t>Diferença:</t>
  </si>
  <si>
    <t>Modelo</t>
  </si>
  <si>
    <t>PRICE LIST 
AGO/26</t>
  </si>
  <si>
    <t>VALOR DE HARDWARE</t>
  </si>
  <si>
    <t>Data Fim EA</t>
  </si>
  <si>
    <t>Data Fim MAI</t>
  </si>
  <si>
    <t>Licença EA</t>
  </si>
  <si>
    <t>Licença Price List</t>
  </si>
  <si>
    <t>FortiGate-90G</t>
  </si>
  <si>
    <t>MODELO</t>
  </si>
  <si>
    <t>Licença Price List (Claro)</t>
  </si>
  <si>
    <t>FortiGate-30G</t>
  </si>
  <si>
    <t>FortiGate-31G</t>
  </si>
  <si>
    <t>FortiGate-40F</t>
  </si>
  <si>
    <t>FortiGate-40F-3G4G</t>
  </si>
  <si>
    <t>FortiGate-50G</t>
  </si>
  <si>
    <t>FortiGate-50G-5G</t>
  </si>
  <si>
    <t>FortiGate-50G-DSL</t>
  </si>
  <si>
    <t>FortiGate-50G-SFP</t>
  </si>
  <si>
    <t>FortiGate-50G-SFP-PoE</t>
  </si>
  <si>
    <t>FortiGate-51G</t>
  </si>
  <si>
    <t>FortiGate-51G-5G</t>
  </si>
  <si>
    <t>FortiGate-51G-SFP-PoE</t>
  </si>
  <si>
    <t>FortiGate-60F</t>
  </si>
  <si>
    <t>FortiGate-61F</t>
  </si>
  <si>
    <t>FortiGate-70G</t>
  </si>
  <si>
    <t>FortiGate-70G-PoE</t>
  </si>
  <si>
    <t>FortiGate-71F</t>
  </si>
  <si>
    <t>FortiGate-71G</t>
  </si>
  <si>
    <t>FortiGate-71G-PoE</t>
  </si>
  <si>
    <t>FortiGate-80F</t>
  </si>
  <si>
    <t>FortiGate-80F-DSL</t>
  </si>
  <si>
    <t>FortiGate-80F-POE</t>
  </si>
  <si>
    <t>FortiGate-81F</t>
  </si>
  <si>
    <t>FortiGate-81F-POE</t>
  </si>
  <si>
    <t>FortiGate-91G</t>
  </si>
  <si>
    <t>FortiGate-120G</t>
  </si>
  <si>
    <t>FortiGate-121G</t>
  </si>
  <si>
    <t>FortiGate-200F</t>
  </si>
  <si>
    <t>FortiGate-200G</t>
  </si>
  <si>
    <t>FortiGate-201F</t>
  </si>
  <si>
    <t>FortiGate-201G</t>
  </si>
  <si>
    <t>FortiGate-400E-BYPASS</t>
  </si>
  <si>
    <t>FortiGate-400F</t>
  </si>
  <si>
    <t>FortiGate-400F-DC</t>
  </si>
  <si>
    <t>FortiGate-400G</t>
  </si>
  <si>
    <t>FortiGate-401F</t>
  </si>
  <si>
    <t>FortiGate-401F-DC</t>
  </si>
  <si>
    <t>FortiGate-401G</t>
  </si>
  <si>
    <t>FortiGate-600E</t>
  </si>
  <si>
    <t>FortiGate-601E</t>
  </si>
  <si>
    <t>FortiGate-700G</t>
  </si>
  <si>
    <t>FortiGate-701G</t>
  </si>
  <si>
    <t>FortiGate-900G</t>
  </si>
  <si>
    <t>FortiGate-900G-DC</t>
  </si>
  <si>
    <t>FortiGate-901G</t>
  </si>
  <si>
    <t>FortiGate-901G-DC</t>
  </si>
  <si>
    <t>FortiGate-1000F</t>
  </si>
  <si>
    <t>FortiGate-1001F</t>
  </si>
  <si>
    <t>FortiGate-1100E</t>
  </si>
  <si>
    <t>FortiGate-1100E-DC</t>
  </si>
  <si>
    <t>FortiGate-1101E</t>
  </si>
  <si>
    <t>FortiGate-1800F</t>
  </si>
  <si>
    <t>FortiGate-1800F-DC</t>
  </si>
  <si>
    <t>FortiGate-1801F</t>
  </si>
  <si>
    <t>FortiGate-1801F-DC</t>
  </si>
  <si>
    <t>FortiGate-2200E</t>
  </si>
  <si>
    <t>FortiGate-2201E</t>
  </si>
  <si>
    <t>FortiGate-2500E</t>
  </si>
  <si>
    <t>FortiGate-2600F</t>
  </si>
  <si>
    <t>FortiGate-2600F-DC</t>
  </si>
  <si>
    <t>FortiGate-2601F</t>
  </si>
  <si>
    <t>FortiGate-2601F-DC</t>
  </si>
  <si>
    <t>FortiGate-3000F</t>
  </si>
  <si>
    <t>FortiGate-3000F-DC</t>
  </si>
  <si>
    <t>FortiGate-3000G</t>
  </si>
  <si>
    <t>FortiGate-3001F</t>
  </si>
  <si>
    <t>FortiGate-3001F-DC</t>
  </si>
  <si>
    <t>FortiGate-3001G</t>
  </si>
  <si>
    <t>FortiGate-3200F</t>
  </si>
  <si>
    <t>FortiGate-3201F</t>
  </si>
  <si>
    <t>FortiGate-3300E</t>
  </si>
  <si>
    <t>FortiGate-3301E</t>
  </si>
  <si>
    <t>FortiGate-3500F</t>
  </si>
  <si>
    <t>FortiGate-3500G</t>
  </si>
  <si>
    <t>FortiGate-3501F</t>
  </si>
  <si>
    <t>FortiGate-3501G</t>
  </si>
  <si>
    <t>FortiGate-3700F</t>
  </si>
  <si>
    <t>FortiGate-3701F</t>
  </si>
  <si>
    <t>FortiGate-3800G</t>
  </si>
  <si>
    <t>FortiGate-3800G-DC</t>
  </si>
  <si>
    <t>FortiGate-3801G</t>
  </si>
  <si>
    <t>FortiGate-3801G-DC</t>
  </si>
  <si>
    <t>FortiGate-4200F</t>
  </si>
  <si>
    <t>FortiGate-4200F-DC</t>
  </si>
  <si>
    <t>FortiGate-4201F</t>
  </si>
  <si>
    <t>FortiGate-4201F-DC</t>
  </si>
  <si>
    <t>FortiGate-4400F</t>
  </si>
  <si>
    <t>FortiGate-4400F-DC</t>
  </si>
  <si>
    <t>FortiGate-4401F</t>
  </si>
  <si>
    <t>FortiGate-4401F-DC</t>
  </si>
  <si>
    <t>FortiGate-4800F</t>
  </si>
  <si>
    <t>FortiGate-4800F-DC</t>
  </si>
  <si>
    <t>FortiGate-4801F</t>
  </si>
  <si>
    <t>FortiGate-4801F-DC</t>
  </si>
  <si>
    <t>FortiGate-4801F-DC-NEBS</t>
  </si>
  <si>
    <t>FortiGate-4801F-NEBS</t>
  </si>
  <si>
    <t>SKU</t>
  </si>
  <si>
    <t>FG-30G</t>
  </si>
  <si>
    <t>FG-31G</t>
  </si>
  <si>
    <t>FG-40F</t>
  </si>
  <si>
    <t>FG-40F-3G4G</t>
  </si>
  <si>
    <t>FG-50G</t>
  </si>
  <si>
    <t>FG-50G-5G</t>
  </si>
  <si>
    <t>FG-50G-DSL</t>
  </si>
  <si>
    <t>FG-50G-SFP</t>
  </si>
  <si>
    <t>FG-50G-SFP-POE</t>
  </si>
  <si>
    <t>FG-51G</t>
  </si>
  <si>
    <t>FG-51G-5G</t>
  </si>
  <si>
    <t>FG-51G-SFP-POE</t>
  </si>
  <si>
    <t>FG-60F</t>
  </si>
  <si>
    <t>FG-61F</t>
  </si>
  <si>
    <t>FG-70G</t>
  </si>
  <si>
    <t>FG-70G-POE</t>
  </si>
  <si>
    <t>FG-71F</t>
  </si>
  <si>
    <t>FG-71G</t>
  </si>
  <si>
    <t>FG-71G-POE</t>
  </si>
  <si>
    <t>FG-80F</t>
  </si>
  <si>
    <t>FG-80F-DSL</t>
  </si>
  <si>
    <t>FG-80F-POE</t>
  </si>
  <si>
    <t>FG-81F</t>
  </si>
  <si>
    <t>FG-81F-POE</t>
  </si>
  <si>
    <t>FG-90G</t>
  </si>
  <si>
    <t>FG-91G</t>
  </si>
  <si>
    <t>FG-120G</t>
  </si>
  <si>
    <t>FG-121G</t>
  </si>
  <si>
    <t>FG-200F</t>
  </si>
  <si>
    <t>FG-200G</t>
  </si>
  <si>
    <t>FG-201F</t>
  </si>
  <si>
    <t>FG-201G</t>
  </si>
  <si>
    <t>FG-400E-BYPASS</t>
  </si>
  <si>
    <t>FG-400F</t>
  </si>
  <si>
    <t>FG-400F-DC</t>
  </si>
  <si>
    <t>FG-400G</t>
  </si>
  <si>
    <t>FG-401F</t>
  </si>
  <si>
    <t>FG-401F-DC</t>
  </si>
  <si>
    <t>FG-401G</t>
  </si>
  <si>
    <t>FG-600E</t>
  </si>
  <si>
    <t>FG-601E</t>
  </si>
  <si>
    <t>FG-700G</t>
  </si>
  <si>
    <t>FG-701G</t>
  </si>
  <si>
    <t>FG-900G</t>
  </si>
  <si>
    <t>FG-900G-DC</t>
  </si>
  <si>
    <t>FG-901G</t>
  </si>
  <si>
    <t>FG-901G-DC</t>
  </si>
  <si>
    <t>FG-1000F</t>
  </si>
  <si>
    <t>FG-1001F</t>
  </si>
  <si>
    <t>FG-1100E</t>
  </si>
  <si>
    <t>FG-1100E-DC</t>
  </si>
  <si>
    <t>FG-1101E</t>
  </si>
  <si>
    <t>FG-1800F</t>
  </si>
  <si>
    <t>FG-1800F-DC</t>
  </si>
  <si>
    <t>FG-1801F</t>
  </si>
  <si>
    <t>FG-1801F-DC</t>
  </si>
  <si>
    <t>FG-2200E</t>
  </si>
  <si>
    <t>FG-2201E</t>
  </si>
  <si>
    <t>FG-2500E</t>
  </si>
  <si>
    <t>FG-2600F</t>
  </si>
  <si>
    <t>FG-2600F-DC</t>
  </si>
  <si>
    <t>FG-2601F</t>
  </si>
  <si>
    <t>FG-2601F-DC</t>
  </si>
  <si>
    <t>FG-3000F</t>
  </si>
  <si>
    <t>FG-3000F-DC</t>
  </si>
  <si>
    <t>FG-3000G</t>
  </si>
  <si>
    <t>FG-3001F</t>
  </si>
  <si>
    <t>FG-3001F-DC</t>
  </si>
  <si>
    <t>FG-3001G</t>
  </si>
  <si>
    <t>FG-3200F</t>
  </si>
  <si>
    <t>FG-3201F</t>
  </si>
  <si>
    <t>FG-3300E</t>
  </si>
  <si>
    <t>FG-3301E</t>
  </si>
  <si>
    <t>FG-3500F</t>
  </si>
  <si>
    <t>FG-3500G</t>
  </si>
  <si>
    <t>FG-3501F</t>
  </si>
  <si>
    <t>FG-3501G</t>
  </si>
  <si>
    <t>FG-3700F</t>
  </si>
  <si>
    <t>FG-3701F</t>
  </si>
  <si>
    <t>FG-3800G</t>
  </si>
  <si>
    <t>FG-3800G-DC</t>
  </si>
  <si>
    <t>FG-3801G</t>
  </si>
  <si>
    <t>FG-3801G-DC</t>
  </si>
  <si>
    <t>FG-4200F</t>
  </si>
  <si>
    <t>FG-4200F-DC</t>
  </si>
  <si>
    <t>FG-4201F</t>
  </si>
  <si>
    <t>FG-4201F-DC</t>
  </si>
  <si>
    <t>FG-4400F</t>
  </si>
  <si>
    <t>FG-4400F-DC</t>
  </si>
  <si>
    <t>FG-4401F</t>
  </si>
  <si>
    <t>FG-4401F-DC</t>
  </si>
  <si>
    <t>FG-4800F</t>
  </si>
  <si>
    <t>FG-4800F-DC</t>
  </si>
  <si>
    <t>FG-4801F</t>
  </si>
  <si>
    <t>FG-4801F-DC</t>
  </si>
  <si>
    <t>FG-4801F-DC-NEBS</t>
  </si>
  <si>
    <t>FG-4801F-NEBS</t>
  </si>
  <si>
    <t>OFERTA EA FORTINET</t>
  </si>
  <si>
    <t>Impostos + Margens</t>
  </si>
  <si>
    <t>Descontos %</t>
  </si>
  <si>
    <t>Repasse Desconto MAI</t>
  </si>
  <si>
    <t>Repasse Desconto EA</t>
  </si>
  <si>
    <t>Tempo de contrato (meses)</t>
  </si>
  <si>
    <t>MESES</t>
  </si>
  <si>
    <t>ANO</t>
  </si>
  <si>
    <t>1 ANO</t>
  </si>
  <si>
    <t>4 ANOS</t>
  </si>
  <si>
    <t>5 ANOS</t>
  </si>
  <si>
    <t>HARDWARE
AGO/26</t>
  </si>
  <si>
    <t>PRICE LIST (EA AGO/26)</t>
  </si>
  <si>
    <t>PRICE LIST ATUAL</t>
  </si>
  <si>
    <t>HARDWARE (EA AGO/26)</t>
  </si>
  <si>
    <t xml:space="preserve">Licença Price List EA </t>
  </si>
  <si>
    <t>Licença SKU</t>
  </si>
  <si>
    <t>Licença Price List SKU</t>
  </si>
  <si>
    <t>Desconto Hardware</t>
  </si>
  <si>
    <t>VALOR ANO</t>
  </si>
  <si>
    <t>Valor Total + Margem c/ desc:</t>
  </si>
  <si>
    <t>Valor Mês c/desc</t>
  </si>
  <si>
    <t>Data Assim. Contrato</t>
  </si>
  <si>
    <t>Custo Operacional Mês(R$)</t>
  </si>
  <si>
    <t>&lt;$C$6</t>
  </si>
  <si>
    <t>&lt;=$C$6</t>
  </si>
  <si>
    <t>Localizar:</t>
  </si>
  <si>
    <t>Substituir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</si>
</sst>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_-[$$-409]* #,##0.00_ ;_-[$$-409]* \-#,##0.00\ ;_-[$$-409]* &quot;-&quot;??_ ;_-@_ "/>
    <numFmt numFmtId="165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5">
    <xf numFmtId="0" fontId="0" fillId="0" borderId="0" xfId="0"/>
    <xf numFmtId="8" fontId="0" fillId="0" borderId="0" xfId="0" applyNumberFormat="1"/>
    <xf numFmtId="0" fontId="0" fillId="0" borderId="1" xfId="0" applyBorder="1"/>
    <xf numFmtId="8" fontId="0" fillId="2" borderId="1" xfId="0" applyNumberFormat="1" applyFill="1" applyBorder="1"/>
    <xf numFmtId="8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17" fontId="0" fillId="0" borderId="1" xfId="0" applyNumberFormat="1" applyBorder="1" applyAlignment="1">
      <alignment horizontal="center"/>
    </xf>
    <xf numFmtId="17" fontId="0" fillId="0" borderId="1" xfId="0" applyNumberFormat="1" applyBorder="1"/>
    <xf numFmtId="0" fontId="0" fillId="0" borderId="3" xfId="0" applyBorder="1"/>
    <xf numFmtId="164" fontId="0" fillId="2" borderId="1" xfId="0" applyNumberFormat="1" applyFill="1" applyBorder="1"/>
    <xf numFmtId="0" fontId="0" fillId="2" borderId="1" xfId="0" applyFill="1" applyBorder="1"/>
    <xf numFmtId="0" fontId="0" fillId="0" borderId="4" xfId="0" applyBorder="1" applyAlignment="1">
      <alignment horizontal="right"/>
    </xf>
    <xf numFmtId="0" fontId="3" fillId="0" borderId="4" xfId="0" applyFont="1" applyBorder="1" applyAlignment="1">
      <alignment horizontal="right"/>
    </xf>
    <xf numFmtId="165" fontId="0" fillId="0" borderId="0" xfId="0" applyNumberFormat="1"/>
    <xf numFmtId="0" fontId="0" fillId="0" borderId="2" xfId="0" applyBorder="1"/>
    <xf numFmtId="9" fontId="0" fillId="2" borderId="2" xfId="0" applyNumberFormat="1" applyFill="1" applyBorder="1" applyAlignment="1">
      <alignment horizontal="center"/>
    </xf>
    <xf numFmtId="0" fontId="2" fillId="0" borderId="4" xfId="0" applyFont="1" applyBorder="1"/>
    <xf numFmtId="14" fontId="2" fillId="0" borderId="0" xfId="0" applyNumberFormat="1" applyFont="1"/>
    <xf numFmtId="8" fontId="3" fillId="0" borderId="0" xfId="0" applyNumberFormat="1" applyFont="1"/>
    <xf numFmtId="8" fontId="0" fillId="0" borderId="2" xfId="0" applyNumberFormat="1" applyBorder="1"/>
    <xf numFmtId="17" fontId="0" fillId="2" borderId="1" xfId="0" applyNumberFormat="1" applyFill="1" applyBorder="1"/>
    <xf numFmtId="17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5" xfId="0" applyBorder="1"/>
    <xf numFmtId="14" fontId="0" fillId="2" borderId="1" xfId="0" applyNumberFormat="1" applyFill="1" applyBorder="1"/>
    <xf numFmtId="0" fontId="3" fillId="0" borderId="4" xfId="0" applyFont="1" applyBorder="1"/>
    <xf numFmtId="9" fontId="0" fillId="0" borderId="0" xfId="1" applyFont="1"/>
    <xf numFmtId="164" fontId="0" fillId="0" borderId="0" xfId="0" applyNumberFormat="1"/>
    <xf numFmtId="164" fontId="0" fillId="0" borderId="1" xfId="0" applyNumberFormat="1" applyBorder="1"/>
    <xf numFmtId="0" fontId="0" fillId="2" borderId="2" xfId="0" applyFill="1" applyBorder="1"/>
    <xf numFmtId="164" fontId="0" fillId="0" borderId="5" xfId="0" applyNumberFormat="1" applyBorder="1"/>
    <xf numFmtId="9" fontId="0" fillId="2" borderId="1" xfId="1" applyFont="1" applyFill="1" applyBorder="1"/>
    <xf numFmtId="14" fontId="0" fillId="3" borderId="1" xfId="0" applyNumberFormat="1" applyFill="1" applyBorder="1"/>
    <xf numFmtId="0" fontId="0" fillId="0" borderId="0" xfId="0" applyAlignment="1">
      <alignment vertical="center" wrapText="1"/>
    </xf>
    <xf numFmtId="9" fontId="0" fillId="2" borderId="1" xfId="1" applyFont="1" applyFill="1" applyBorder="1" applyAlignment="1">
      <alignment horizontal="center"/>
    </xf>
    <xf numFmtId="165" fontId="0" fillId="0" borderId="1" xfId="0" applyNumberFormat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2" xfId="0" applyFont="1" applyFill="1" applyBorder="1"/>
    <xf numFmtId="8" fontId="2" fillId="4" borderId="1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8" fontId="2" fillId="5" borderId="1" xfId="0" applyNumberFormat="1" applyFont="1" applyFill="1" applyBorder="1"/>
    <xf numFmtId="0" fontId="0" fillId="0" borderId="1" xfId="0" applyBorder="1" applyAlignment="1">
      <alignment horizontal="left" wrapText="1"/>
    </xf>
    <xf numFmtId="9" fontId="0" fillId="2" borderId="1" xfId="0" applyNumberForma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9" fontId="0" fillId="2" borderId="2" xfId="0" applyNumberFormat="1" applyFill="1" applyBorder="1" applyAlignment="1">
      <alignment horizontal="center" vertical="center"/>
    </xf>
    <xf numFmtId="9" fontId="0" fillId="2" borderId="5" xfId="0" applyNumberForma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7">
    <dxf>
      <alignment horizontal="general" vertical="center" textRotation="0" wrapText="0" indent="0" justifyLastLine="0" shrinkToFit="0" readingOrder="0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6877AF-50AE-4AF6-B01E-62737B0A0C28}" name="Tabela1" displayName="Tabela1" ref="F3:L100" totalsRowShown="0" headerRowDxfId="6">
  <autoFilter ref="F3:L100" xr:uid="{406877AF-50AE-4AF6-B01E-62737B0A0C28}"/>
  <tableColumns count="7">
    <tableColumn id="1" xr3:uid="{AEE72670-6D28-4E47-8E27-36E2C71E2885}" name="Modelo"/>
    <tableColumn id="9" xr3:uid="{896DC7C0-63CA-4DF6-AA7C-E40C2580224C}" name="SKU"/>
    <tableColumn id="6" xr3:uid="{CFB43D26-A88F-49A0-B909-7E901A0E0AE2}" name="HARDWARE (EA AGO/26)" dataDxfId="5"/>
    <tableColumn id="4" xr3:uid="{4EB5DB0C-A194-4359-A7A5-FA68B97CCB01}" name="PRICE LIST (EA AGO/26)" dataDxfId="4"/>
    <tableColumn id="11" xr3:uid="{C3845FC9-06C2-453B-BFAF-41504C6D6F79}" name="PRICE LIST ATUAL" dataDxfId="3"/>
    <tableColumn id="5" xr3:uid="{EAA4D356-21E0-466E-97B3-754656D035D7}" name="PRICE LIST _x000a_AGO/26" dataDxfId="2"/>
    <tableColumn id="10" xr3:uid="{1DB43DB0-D83D-4685-AE1C-00DB240AD42A}" name="HARDWARE_x000a_AGO/26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4CE92B-F64A-41B8-B7E0-8C1D0D915EDD}" name="Tabela2" displayName="Tabela2" ref="B3:D8" totalsRowShown="0" headerRowDxfId="0">
  <autoFilter ref="B3:D8" xr:uid="{224CE92B-F64A-41B8-B7E0-8C1D0D915EDD}"/>
  <tableColumns count="3">
    <tableColumn id="1" xr3:uid="{0E054F47-6150-4E67-A8CF-A10A42CFF15C}" name="MESES"/>
    <tableColumn id="2" xr3:uid="{9F0159A2-0B4D-4976-9C1B-E4980C5DB851}" name="ANO"/>
    <tableColumn id="3" xr3:uid="{06E95EFE-ADEB-4A5C-B61B-FE5BFB0BFFFB}" name="VALOR A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93FC-0A16-4B65-B445-7A3F438F25AD}">
  <dimension ref="A2:P63"/>
  <sheetViews>
    <sheetView showGridLines="0" topLeftCell="B1" zoomScale="110" zoomScaleNormal="110" workbookViewId="0">
      <selection activeCell="H7" sqref="H7"/>
    </sheetView>
  </sheetViews>
  <sheetFormatPr defaultRowHeight="14.4" x14ac:dyDescent="0.3"/>
  <cols>
    <col min="1" max="1" width="5.21875" customWidth="1"/>
    <col min="2" max="2" width="25.77734375" bestFit="1" customWidth="1"/>
    <col min="3" max="3" width="9" bestFit="1" customWidth="1"/>
    <col min="4" max="4" width="12.5546875" bestFit="1" customWidth="1"/>
    <col min="5" max="5" width="3.44140625" customWidth="1"/>
    <col min="6" max="6" width="5.21875" style="8" customWidth="1"/>
    <col min="7" max="7" width="27.44140625" customWidth="1"/>
    <col min="8" max="8" width="13.21875" customWidth="1"/>
    <col min="9" max="9" width="5.44140625" customWidth="1"/>
    <col min="10" max="10" width="26.77734375" bestFit="1" customWidth="1"/>
    <col min="11" max="11" width="12.5546875" bestFit="1" customWidth="1"/>
    <col min="13" max="13" width="26.77734375" bestFit="1" customWidth="1"/>
    <col min="14" max="14" width="12.5546875" bestFit="1" customWidth="1"/>
    <col min="16" max="16" width="12.88671875" bestFit="1" customWidth="1"/>
  </cols>
  <sheetData>
    <row r="2" spans="1:16" x14ac:dyDescent="0.3">
      <c r="B2" s="6" t="s">
        <v>6</v>
      </c>
      <c r="D2" s="20">
        <v>46296</v>
      </c>
      <c r="E2" s="7"/>
      <c r="F2" s="8">
        <f>MONTH(D2-D5)-1</f>
        <v>6</v>
      </c>
    </row>
    <row r="4" spans="1:16" ht="15" thickBot="1" x14ac:dyDescent="0.35">
      <c r="C4" s="5" t="s">
        <v>3</v>
      </c>
      <c r="D4" s="5" t="s">
        <v>5</v>
      </c>
      <c r="G4" s="14" t="s">
        <v>10</v>
      </c>
      <c r="H4" s="19">
        <v>36</v>
      </c>
      <c r="I4" s="8"/>
      <c r="J4" s="15" t="s">
        <v>11</v>
      </c>
      <c r="K4" s="19">
        <v>24</v>
      </c>
      <c r="L4" s="8"/>
      <c r="M4" s="14" t="s">
        <v>12</v>
      </c>
      <c r="N4" s="19">
        <v>12</v>
      </c>
      <c r="P4" s="16">
        <f>D8*D6</f>
        <v>3537.0000000000005</v>
      </c>
    </row>
    <row r="5" spans="1:16" ht="15" thickTop="1" x14ac:dyDescent="0.3">
      <c r="B5" s="2" t="s">
        <v>14</v>
      </c>
      <c r="C5" s="7"/>
      <c r="D5" s="23">
        <v>46113</v>
      </c>
      <c r="P5" s="16">
        <f>H6*D6</f>
        <v>6685.2000000000007</v>
      </c>
    </row>
    <row r="6" spans="1:16" x14ac:dyDescent="0.3">
      <c r="B6" s="2" t="s">
        <v>8</v>
      </c>
      <c r="C6" s="11"/>
      <c r="D6" s="3">
        <v>5.4</v>
      </c>
      <c r="G6" s="2" t="s">
        <v>13</v>
      </c>
      <c r="H6" s="12">
        <v>1238</v>
      </c>
      <c r="J6" s="2" t="s">
        <v>13</v>
      </c>
      <c r="K6" s="12">
        <v>918</v>
      </c>
      <c r="M6" s="2" t="s">
        <v>13</v>
      </c>
      <c r="N6" s="12">
        <v>459</v>
      </c>
      <c r="P6">
        <v>3600</v>
      </c>
    </row>
    <row r="7" spans="1:16" x14ac:dyDescent="0.3">
      <c r="B7" s="2" t="s">
        <v>9</v>
      </c>
      <c r="C7" s="11"/>
      <c r="D7" s="13">
        <v>1</v>
      </c>
      <c r="G7" s="2" t="s">
        <v>1</v>
      </c>
      <c r="H7" s="4">
        <f>$D$8*$D$6*$D$7</f>
        <v>3537.0000000000005</v>
      </c>
      <c r="J7" s="2" t="s">
        <v>1</v>
      </c>
      <c r="K7" s="4">
        <f>$D$8*$D$6*$D$7</f>
        <v>3537.0000000000005</v>
      </c>
      <c r="M7" s="2" t="s">
        <v>1</v>
      </c>
      <c r="N7" s="4">
        <f>$D$8*$D$6*$D$7</f>
        <v>3537.0000000000005</v>
      </c>
      <c r="P7" s="16">
        <f>SUM(P4:P6)</f>
        <v>13822.2</v>
      </c>
    </row>
    <row r="8" spans="1:16" x14ac:dyDescent="0.3">
      <c r="B8" s="2" t="s">
        <v>7</v>
      </c>
      <c r="C8" s="11"/>
      <c r="D8" s="12">
        <v>655</v>
      </c>
      <c r="G8" s="2" t="s">
        <v>17</v>
      </c>
      <c r="H8" s="4">
        <f>H6*$D$6*$D$7</f>
        <v>6685.2000000000007</v>
      </c>
      <c r="J8" s="2" t="s">
        <v>17</v>
      </c>
      <c r="K8" s="4">
        <f>K6*$D$6*$D$7</f>
        <v>4957.2000000000007</v>
      </c>
      <c r="M8" s="2" t="s">
        <v>17</v>
      </c>
      <c r="N8" s="4">
        <f>N6*$D$6*$D$7</f>
        <v>2478.6000000000004</v>
      </c>
      <c r="P8" s="16">
        <f>P7*(1+D15)</f>
        <v>17968.86</v>
      </c>
    </row>
    <row r="9" spans="1:16" x14ac:dyDescent="0.3">
      <c r="B9" s="2" t="s">
        <v>2</v>
      </c>
      <c r="C9" s="11"/>
      <c r="D9" s="4">
        <f>D8*$D$6*D7</f>
        <v>3537.0000000000005</v>
      </c>
      <c r="G9" s="2" t="str">
        <f>"Custo Operacional "&amp;G4&amp;" (R$)"</f>
        <v>Custo Operacional 3 ANOS (R$)</v>
      </c>
      <c r="H9" s="4">
        <f>$C$10*$D$7*H$4</f>
        <v>3600</v>
      </c>
      <c r="J9" s="2" t="str">
        <f>"Custo Operacional "&amp;J4&amp;" (R$)"</f>
        <v>Custo Operacional 2 ANOS (R$)</v>
      </c>
      <c r="K9" s="4">
        <f>$C$10*$D$7*K$4</f>
        <v>2400</v>
      </c>
      <c r="M9" s="2" t="str">
        <f>"Custo Operacional "&amp;M4&amp;" (R$)"</f>
        <v>Custo Operacional 1 ANOS (R$)</v>
      </c>
      <c r="N9" s="4">
        <f>$C$10*$D$7*N$4</f>
        <v>1200</v>
      </c>
      <c r="P9" s="16">
        <f>P8/H4</f>
        <v>499.13499999999999</v>
      </c>
    </row>
    <row r="10" spans="1:16" x14ac:dyDescent="0.3">
      <c r="B10" s="2" t="s">
        <v>19</v>
      </c>
      <c r="C10" s="3">
        <v>100</v>
      </c>
      <c r="D10" s="4">
        <f>100*H4</f>
        <v>3600</v>
      </c>
      <c r="G10" s="17" t="s">
        <v>18</v>
      </c>
      <c r="H10" s="22">
        <f>(($D$8*$D$6*$D$7)+(H6*$D$6*$D$7)+($C$10*H4*$D$7))*(1+$D$15)</f>
        <v>17968.86</v>
      </c>
      <c r="J10" s="17" t="s">
        <v>18</v>
      </c>
      <c r="K10" s="4">
        <f>(($D$8*$D$6*$D$7)+(K6*$D$6*$D$7)+($C$10*K4*$D$7))*(1+$D$15)</f>
        <v>14162.460000000001</v>
      </c>
      <c r="M10" s="17" t="s">
        <v>18</v>
      </c>
      <c r="N10" s="4">
        <f>(($D$8*$D$6*$D$7)+(N6*$D$6*$D$7)+($C$10*N4*$D$7))*(1+$D$15)</f>
        <v>9380.2800000000007</v>
      </c>
    </row>
    <row r="11" spans="1:16" x14ac:dyDescent="0.3">
      <c r="G11" s="2" t="s">
        <v>15</v>
      </c>
      <c r="H11" s="4">
        <f>H10/H4</f>
        <v>499.13499999999999</v>
      </c>
      <c r="J11" s="2" t="s">
        <v>15</v>
      </c>
      <c r="K11" s="4">
        <f>K10/K4</f>
        <v>590.10250000000008</v>
      </c>
      <c r="M11" s="2" t="s">
        <v>15</v>
      </c>
      <c r="N11" s="4">
        <f>N10/N4</f>
        <v>781.69</v>
      </c>
      <c r="P11" s="16">
        <f>P5/36</f>
        <v>185.70000000000002</v>
      </c>
    </row>
    <row r="12" spans="1:16" x14ac:dyDescent="0.3">
      <c r="G12" t="s">
        <v>20</v>
      </c>
      <c r="H12" s="1">
        <f>H10-H13</f>
        <v>-779.99999999999636</v>
      </c>
      <c r="J12" t="s">
        <v>20</v>
      </c>
      <c r="K12" s="1">
        <f>K10-K13</f>
        <v>-780.00000000000909</v>
      </c>
      <c r="M12" t="s">
        <v>20</v>
      </c>
      <c r="N12" s="1">
        <f>N10-N13</f>
        <v>-780.00000000000364</v>
      </c>
      <c r="P12" s="16">
        <f>P11*(1+D15)</f>
        <v>241.41000000000003</v>
      </c>
    </row>
    <row r="13" spans="1:16" x14ac:dyDescent="0.3">
      <c r="H13" s="1">
        <f>SUM(H15:H63)</f>
        <v>18748.859999999997</v>
      </c>
      <c r="K13" s="1">
        <f>SUM(K15:K63)</f>
        <v>14942.46000000001</v>
      </c>
      <c r="N13" s="1">
        <f>SUM(N15:N63)</f>
        <v>10160.280000000004</v>
      </c>
      <c r="P13">
        <v>130</v>
      </c>
    </row>
    <row r="14" spans="1:16" x14ac:dyDescent="0.3">
      <c r="G14" s="5" t="s">
        <v>3</v>
      </c>
      <c r="H14" s="9" t="s">
        <v>4</v>
      </c>
      <c r="J14" s="5" t="s">
        <v>3</v>
      </c>
      <c r="K14" s="9" t="s">
        <v>4</v>
      </c>
      <c r="M14" s="5" t="s">
        <v>3</v>
      </c>
      <c r="N14" s="9" t="s">
        <v>4</v>
      </c>
    </row>
    <row r="15" spans="1:16" x14ac:dyDescent="0.3">
      <c r="A15" s="7"/>
      <c r="B15" s="17" t="s">
        <v>0</v>
      </c>
      <c r="C15" s="7"/>
      <c r="D15" s="18">
        <v>0.3</v>
      </c>
      <c r="E15" s="7"/>
      <c r="F15" s="8">
        <v>1</v>
      </c>
      <c r="G15" s="10">
        <f>$D$5</f>
        <v>46113</v>
      </c>
      <c r="H15" s="4">
        <f t="shared" ref="H15:H46" si="0">IF(G15&lt;$D$2,($C$10+((1-$D$16)*(H$6*$D$6/H$4)))*(1+$D$15)*$D$7,IF(G15="","",H$10/H$4))</f>
        <v>130</v>
      </c>
      <c r="J15" s="10">
        <f>$D$5</f>
        <v>46113</v>
      </c>
      <c r="K15" s="4">
        <f t="shared" ref="K15:K46" si="1">IF(J15&lt;$D$2,($C$10+((1-$D$16)*(K$6*$D$6/K$4)))*(1+$D$15)*$D$7,IF(J15="","",K$10/K$4))</f>
        <v>130</v>
      </c>
      <c r="M15" s="10">
        <f>$D$5</f>
        <v>46113</v>
      </c>
      <c r="N15" s="4">
        <f t="shared" ref="N15:N46" si="2">IF(M15&lt;$D$2,($C$10+((1-$D$16)*(N$6*$D$6/N$4)))*(1+$D$15)*$D$7,IF(M15="","",N$10/N$4))</f>
        <v>130</v>
      </c>
    </row>
    <row r="16" spans="1:16" x14ac:dyDescent="0.3">
      <c r="B16" s="48" t="s">
        <v>16</v>
      </c>
      <c r="C16" s="7"/>
      <c r="D16" s="49">
        <v>1</v>
      </c>
      <c r="E16" s="7"/>
      <c r="F16" s="8">
        <v>2</v>
      </c>
      <c r="G16" s="10">
        <f>IF((H$4+$F$2)&gt;=$F16,EDATE(G15,1),"")</f>
        <v>46143</v>
      </c>
      <c r="H16" s="4">
        <f t="shared" si="0"/>
        <v>130</v>
      </c>
      <c r="J16" s="10">
        <f>IF((K$4+$F$2)&gt;=$F16,EDATE(J15,1),"")</f>
        <v>46143</v>
      </c>
      <c r="K16" s="4">
        <f t="shared" si="1"/>
        <v>130</v>
      </c>
      <c r="M16" s="10">
        <f>IF((N$4+$F$2)&gt;=$F16,EDATE(M15,1),"")</f>
        <v>46143</v>
      </c>
      <c r="N16" s="4">
        <f t="shared" si="2"/>
        <v>130</v>
      </c>
    </row>
    <row r="17" spans="1:14" x14ac:dyDescent="0.3">
      <c r="B17" s="48"/>
      <c r="C17" s="7"/>
      <c r="D17" s="49"/>
      <c r="E17" s="7"/>
      <c r="F17" s="8">
        <v>3</v>
      </c>
      <c r="G17" s="10">
        <f t="shared" ref="G17:G63" si="3">IF((H$4+$F$2)&gt;=$F17,EDATE(G16,1),"")</f>
        <v>46174</v>
      </c>
      <c r="H17" s="4">
        <f t="shared" si="0"/>
        <v>130</v>
      </c>
      <c r="J17" s="10">
        <f t="shared" ref="J17:J63" si="4">IF((K$4+$F$2)&gt;=$F17,EDATE(J16,1),"")</f>
        <v>46174</v>
      </c>
      <c r="K17" s="4">
        <f t="shared" si="1"/>
        <v>130</v>
      </c>
      <c r="M17" s="10">
        <f t="shared" ref="M17:M63" si="5">IF((N$4+$F$2)&gt;=$F17,EDATE(M16,1),"")</f>
        <v>46174</v>
      </c>
      <c r="N17" s="4">
        <f t="shared" si="2"/>
        <v>130</v>
      </c>
    </row>
    <row r="18" spans="1:14" x14ac:dyDescent="0.3">
      <c r="A18" s="7"/>
      <c r="B18" s="7"/>
      <c r="C18" s="7"/>
      <c r="D18" s="7"/>
      <c r="E18" s="7"/>
      <c r="F18" s="8">
        <v>4</v>
      </c>
      <c r="G18" s="10">
        <f t="shared" si="3"/>
        <v>46204</v>
      </c>
      <c r="H18" s="4">
        <f t="shared" si="0"/>
        <v>130</v>
      </c>
      <c r="J18" s="10">
        <f t="shared" si="4"/>
        <v>46204</v>
      </c>
      <c r="K18" s="4">
        <f t="shared" si="1"/>
        <v>130</v>
      </c>
      <c r="M18" s="10">
        <f t="shared" si="5"/>
        <v>46204</v>
      </c>
      <c r="N18" s="4">
        <f t="shared" si="2"/>
        <v>130</v>
      </c>
    </row>
    <row r="19" spans="1:14" x14ac:dyDescent="0.3">
      <c r="A19" s="7"/>
      <c r="B19" s="7"/>
      <c r="C19" s="7"/>
      <c r="D19" s="7"/>
      <c r="E19" s="7"/>
      <c r="F19" s="8">
        <v>5</v>
      </c>
      <c r="G19" s="10">
        <f t="shared" si="3"/>
        <v>46235</v>
      </c>
      <c r="H19" s="4">
        <f t="shared" si="0"/>
        <v>130</v>
      </c>
      <c r="J19" s="10">
        <f t="shared" si="4"/>
        <v>46235</v>
      </c>
      <c r="K19" s="4">
        <f t="shared" si="1"/>
        <v>130</v>
      </c>
      <c r="M19" s="10">
        <f t="shared" si="5"/>
        <v>46235</v>
      </c>
      <c r="N19" s="4">
        <f t="shared" si="2"/>
        <v>130</v>
      </c>
    </row>
    <row r="20" spans="1:14" x14ac:dyDescent="0.3">
      <c r="A20" s="7"/>
      <c r="B20" s="7"/>
      <c r="C20" s="7"/>
      <c r="D20" s="7"/>
      <c r="E20" s="7"/>
      <c r="F20" s="8">
        <v>6</v>
      </c>
      <c r="G20" s="10">
        <f t="shared" si="3"/>
        <v>46266</v>
      </c>
      <c r="H20" s="4">
        <f t="shared" si="0"/>
        <v>130</v>
      </c>
      <c r="J20" s="10">
        <f t="shared" si="4"/>
        <v>46266</v>
      </c>
      <c r="K20" s="4">
        <f t="shared" si="1"/>
        <v>130</v>
      </c>
      <c r="M20" s="10">
        <f t="shared" si="5"/>
        <v>46266</v>
      </c>
      <c r="N20" s="4">
        <f t="shared" si="2"/>
        <v>130</v>
      </c>
    </row>
    <row r="21" spans="1:14" x14ac:dyDescent="0.3">
      <c r="A21" s="7"/>
      <c r="B21" s="21"/>
      <c r="C21" s="7"/>
      <c r="D21" s="7"/>
      <c r="E21" s="7"/>
      <c r="F21" s="8">
        <v>7</v>
      </c>
      <c r="G21" s="10">
        <f t="shared" si="3"/>
        <v>46296</v>
      </c>
      <c r="H21" s="4">
        <f t="shared" si="0"/>
        <v>499.13499999999999</v>
      </c>
      <c r="J21" s="10">
        <f t="shared" si="4"/>
        <v>46296</v>
      </c>
      <c r="K21" s="4">
        <f t="shared" si="1"/>
        <v>590.10250000000008</v>
      </c>
      <c r="M21" s="10">
        <f t="shared" si="5"/>
        <v>46296</v>
      </c>
      <c r="N21" s="4">
        <f t="shared" si="2"/>
        <v>781.69</v>
      </c>
    </row>
    <row r="22" spans="1:14" x14ac:dyDescent="0.3">
      <c r="A22" s="7"/>
      <c r="B22" s="7"/>
      <c r="C22" s="7"/>
      <c r="D22" s="7"/>
      <c r="E22" s="7"/>
      <c r="F22" s="8">
        <v>8</v>
      </c>
      <c r="G22" s="10">
        <f t="shared" si="3"/>
        <v>46327</v>
      </c>
      <c r="H22" s="4">
        <f t="shared" si="0"/>
        <v>499.13499999999999</v>
      </c>
      <c r="J22" s="10">
        <f t="shared" si="4"/>
        <v>46327</v>
      </c>
      <c r="K22" s="4">
        <f t="shared" si="1"/>
        <v>590.10250000000008</v>
      </c>
      <c r="M22" s="10">
        <f t="shared" si="5"/>
        <v>46327</v>
      </c>
      <c r="N22" s="4">
        <f t="shared" si="2"/>
        <v>781.69</v>
      </c>
    </row>
    <row r="23" spans="1:14" x14ac:dyDescent="0.3">
      <c r="A23" s="7"/>
      <c r="B23" s="7"/>
      <c r="C23" s="7"/>
      <c r="D23" s="7"/>
      <c r="E23" s="7"/>
      <c r="F23" s="8">
        <v>9</v>
      </c>
      <c r="G23" s="10">
        <f t="shared" si="3"/>
        <v>46357</v>
      </c>
      <c r="H23" s="4">
        <f t="shared" si="0"/>
        <v>499.13499999999999</v>
      </c>
      <c r="J23" s="10">
        <f t="shared" si="4"/>
        <v>46357</v>
      </c>
      <c r="K23" s="4">
        <f t="shared" si="1"/>
        <v>590.10250000000008</v>
      </c>
      <c r="M23" s="10">
        <f t="shared" si="5"/>
        <v>46357</v>
      </c>
      <c r="N23" s="4">
        <f t="shared" si="2"/>
        <v>781.69</v>
      </c>
    </row>
    <row r="24" spans="1:14" x14ac:dyDescent="0.3">
      <c r="A24" s="7"/>
      <c r="B24" s="7"/>
      <c r="C24" s="7"/>
      <c r="D24" s="7"/>
      <c r="E24" s="7"/>
      <c r="F24" s="8">
        <v>10</v>
      </c>
      <c r="G24" s="10">
        <f t="shared" si="3"/>
        <v>46388</v>
      </c>
      <c r="H24" s="4">
        <f t="shared" si="0"/>
        <v>499.13499999999999</v>
      </c>
      <c r="J24" s="10">
        <f t="shared" si="4"/>
        <v>46388</v>
      </c>
      <c r="K24" s="4">
        <f t="shared" si="1"/>
        <v>590.10250000000008</v>
      </c>
      <c r="M24" s="10">
        <f t="shared" si="5"/>
        <v>46388</v>
      </c>
      <c r="N24" s="4">
        <f t="shared" si="2"/>
        <v>781.69</v>
      </c>
    </row>
    <row r="25" spans="1:14" x14ac:dyDescent="0.3">
      <c r="A25" s="7"/>
      <c r="B25" s="7"/>
      <c r="C25" s="7"/>
      <c r="D25" s="7"/>
      <c r="E25" s="7"/>
      <c r="F25" s="8">
        <v>11</v>
      </c>
      <c r="G25" s="10">
        <f t="shared" si="3"/>
        <v>46419</v>
      </c>
      <c r="H25" s="4">
        <f t="shared" si="0"/>
        <v>499.13499999999999</v>
      </c>
      <c r="J25" s="10">
        <f t="shared" si="4"/>
        <v>46419</v>
      </c>
      <c r="K25" s="4">
        <f t="shared" si="1"/>
        <v>590.10250000000008</v>
      </c>
      <c r="M25" s="10">
        <f t="shared" si="5"/>
        <v>46419</v>
      </c>
      <c r="N25" s="4">
        <f t="shared" si="2"/>
        <v>781.69</v>
      </c>
    </row>
    <row r="26" spans="1:14" x14ac:dyDescent="0.3">
      <c r="E26" s="7"/>
      <c r="F26" s="8">
        <v>12</v>
      </c>
      <c r="G26" s="10">
        <f t="shared" si="3"/>
        <v>46447</v>
      </c>
      <c r="H26" s="4">
        <f t="shared" si="0"/>
        <v>499.13499999999999</v>
      </c>
      <c r="J26" s="10">
        <f t="shared" si="4"/>
        <v>46447</v>
      </c>
      <c r="K26" s="4">
        <f t="shared" si="1"/>
        <v>590.10250000000008</v>
      </c>
      <c r="M26" s="10">
        <f t="shared" si="5"/>
        <v>46447</v>
      </c>
      <c r="N26" s="4">
        <f t="shared" si="2"/>
        <v>781.69</v>
      </c>
    </row>
    <row r="27" spans="1:14" x14ac:dyDescent="0.3">
      <c r="E27" s="7"/>
      <c r="F27" s="8">
        <v>13</v>
      </c>
      <c r="G27" s="10">
        <f t="shared" si="3"/>
        <v>46478</v>
      </c>
      <c r="H27" s="4">
        <f t="shared" si="0"/>
        <v>499.13499999999999</v>
      </c>
      <c r="J27" s="10">
        <f t="shared" si="4"/>
        <v>46478</v>
      </c>
      <c r="K27" s="4">
        <f t="shared" si="1"/>
        <v>590.10250000000008</v>
      </c>
      <c r="M27" s="10">
        <f t="shared" si="5"/>
        <v>46478</v>
      </c>
      <c r="N27" s="4">
        <f t="shared" si="2"/>
        <v>781.69</v>
      </c>
    </row>
    <row r="28" spans="1:14" x14ac:dyDescent="0.3">
      <c r="E28" s="7"/>
      <c r="F28" s="8">
        <v>14</v>
      </c>
      <c r="G28" s="10">
        <f t="shared" si="3"/>
        <v>46508</v>
      </c>
      <c r="H28" s="4">
        <f t="shared" si="0"/>
        <v>499.13499999999999</v>
      </c>
      <c r="J28" s="10">
        <f t="shared" si="4"/>
        <v>46508</v>
      </c>
      <c r="K28" s="4">
        <f t="shared" si="1"/>
        <v>590.10250000000008</v>
      </c>
      <c r="M28" s="10">
        <f t="shared" si="5"/>
        <v>46508</v>
      </c>
      <c r="N28" s="4">
        <f t="shared" si="2"/>
        <v>781.69</v>
      </c>
    </row>
    <row r="29" spans="1:14" x14ac:dyDescent="0.3">
      <c r="E29" s="7"/>
      <c r="F29" s="8">
        <v>15</v>
      </c>
      <c r="G29" s="10">
        <f t="shared" si="3"/>
        <v>46539</v>
      </c>
      <c r="H29" s="4">
        <f t="shared" si="0"/>
        <v>499.13499999999999</v>
      </c>
      <c r="J29" s="10">
        <f t="shared" si="4"/>
        <v>46539</v>
      </c>
      <c r="K29" s="4">
        <f t="shared" si="1"/>
        <v>590.10250000000008</v>
      </c>
      <c r="M29" s="10">
        <f t="shared" si="5"/>
        <v>46539</v>
      </c>
      <c r="N29" s="4">
        <f t="shared" si="2"/>
        <v>781.69</v>
      </c>
    </row>
    <row r="30" spans="1:14" x14ac:dyDescent="0.3">
      <c r="E30" s="7"/>
      <c r="F30" s="8">
        <v>16</v>
      </c>
      <c r="G30" s="10">
        <f t="shared" si="3"/>
        <v>46569</v>
      </c>
      <c r="H30" s="4">
        <f t="shared" si="0"/>
        <v>499.13499999999999</v>
      </c>
      <c r="J30" s="10">
        <f t="shared" si="4"/>
        <v>46569</v>
      </c>
      <c r="K30" s="4">
        <f t="shared" si="1"/>
        <v>590.10250000000008</v>
      </c>
      <c r="M30" s="10">
        <f t="shared" si="5"/>
        <v>46569</v>
      </c>
      <c r="N30" s="4">
        <f t="shared" si="2"/>
        <v>781.69</v>
      </c>
    </row>
    <row r="31" spans="1:14" x14ac:dyDescent="0.3">
      <c r="E31" s="7"/>
      <c r="F31" s="8">
        <v>17</v>
      </c>
      <c r="G31" s="10">
        <f t="shared" si="3"/>
        <v>46600</v>
      </c>
      <c r="H31" s="4">
        <f t="shared" si="0"/>
        <v>499.13499999999999</v>
      </c>
      <c r="J31" s="10">
        <f t="shared" si="4"/>
        <v>46600</v>
      </c>
      <c r="K31" s="4">
        <f t="shared" si="1"/>
        <v>590.10250000000008</v>
      </c>
      <c r="M31" s="10">
        <f t="shared" si="5"/>
        <v>46600</v>
      </c>
      <c r="N31" s="4">
        <f t="shared" si="2"/>
        <v>781.69</v>
      </c>
    </row>
    <row r="32" spans="1:14" x14ac:dyDescent="0.3">
      <c r="E32" s="7"/>
      <c r="F32" s="8">
        <v>18</v>
      </c>
      <c r="G32" s="10">
        <f t="shared" si="3"/>
        <v>46631</v>
      </c>
      <c r="H32" s="4">
        <f t="shared" si="0"/>
        <v>499.13499999999999</v>
      </c>
      <c r="J32" s="10">
        <f t="shared" si="4"/>
        <v>46631</v>
      </c>
      <c r="K32" s="4">
        <f t="shared" si="1"/>
        <v>590.10250000000008</v>
      </c>
      <c r="M32" s="10">
        <f t="shared" si="5"/>
        <v>46631</v>
      </c>
      <c r="N32" s="4">
        <f t="shared" si="2"/>
        <v>781.69</v>
      </c>
    </row>
    <row r="33" spans="5:14" x14ac:dyDescent="0.3">
      <c r="E33" s="7"/>
      <c r="F33" s="8">
        <v>19</v>
      </c>
      <c r="G33" s="10">
        <f t="shared" si="3"/>
        <v>46661</v>
      </c>
      <c r="H33" s="4">
        <f t="shared" si="0"/>
        <v>499.13499999999999</v>
      </c>
      <c r="J33" s="10">
        <f t="shared" si="4"/>
        <v>46661</v>
      </c>
      <c r="K33" s="4">
        <f t="shared" si="1"/>
        <v>590.10250000000008</v>
      </c>
      <c r="M33" s="10" t="str">
        <f t="shared" si="5"/>
        <v/>
      </c>
      <c r="N33" s="4" t="str">
        <f t="shared" si="2"/>
        <v/>
      </c>
    </row>
    <row r="34" spans="5:14" x14ac:dyDescent="0.3">
      <c r="E34" s="7"/>
      <c r="F34" s="8">
        <v>20</v>
      </c>
      <c r="G34" s="10">
        <f t="shared" si="3"/>
        <v>46692</v>
      </c>
      <c r="H34" s="4">
        <f t="shared" si="0"/>
        <v>499.13499999999999</v>
      </c>
      <c r="J34" s="10">
        <f t="shared" si="4"/>
        <v>46692</v>
      </c>
      <c r="K34" s="4">
        <f t="shared" si="1"/>
        <v>590.10250000000008</v>
      </c>
      <c r="M34" s="10" t="str">
        <f t="shared" si="5"/>
        <v/>
      </c>
      <c r="N34" s="4" t="str">
        <f t="shared" si="2"/>
        <v/>
      </c>
    </row>
    <row r="35" spans="5:14" x14ac:dyDescent="0.3">
      <c r="E35" s="7"/>
      <c r="F35" s="8">
        <v>21</v>
      </c>
      <c r="G35" s="10">
        <f t="shared" si="3"/>
        <v>46722</v>
      </c>
      <c r="H35" s="4">
        <f t="shared" si="0"/>
        <v>499.13499999999999</v>
      </c>
      <c r="J35" s="10">
        <f t="shared" si="4"/>
        <v>46722</v>
      </c>
      <c r="K35" s="4">
        <f t="shared" si="1"/>
        <v>590.10250000000008</v>
      </c>
      <c r="M35" s="10" t="str">
        <f t="shared" si="5"/>
        <v/>
      </c>
      <c r="N35" s="4" t="str">
        <f t="shared" si="2"/>
        <v/>
      </c>
    </row>
    <row r="36" spans="5:14" x14ac:dyDescent="0.3">
      <c r="E36" s="7"/>
      <c r="F36" s="8">
        <v>22</v>
      </c>
      <c r="G36" s="10">
        <f t="shared" si="3"/>
        <v>46753</v>
      </c>
      <c r="H36" s="4">
        <f t="shared" si="0"/>
        <v>499.13499999999999</v>
      </c>
      <c r="J36" s="10">
        <f t="shared" si="4"/>
        <v>46753</v>
      </c>
      <c r="K36" s="4">
        <f t="shared" si="1"/>
        <v>590.10250000000008</v>
      </c>
      <c r="M36" s="10" t="str">
        <f t="shared" si="5"/>
        <v/>
      </c>
      <c r="N36" s="4" t="str">
        <f t="shared" si="2"/>
        <v/>
      </c>
    </row>
    <row r="37" spans="5:14" x14ac:dyDescent="0.3">
      <c r="E37" s="7"/>
      <c r="F37" s="8">
        <v>23</v>
      </c>
      <c r="G37" s="10">
        <f t="shared" si="3"/>
        <v>46784</v>
      </c>
      <c r="H37" s="4">
        <f t="shared" si="0"/>
        <v>499.13499999999999</v>
      </c>
      <c r="J37" s="10">
        <f t="shared" si="4"/>
        <v>46784</v>
      </c>
      <c r="K37" s="4">
        <f t="shared" si="1"/>
        <v>590.10250000000008</v>
      </c>
      <c r="M37" s="10" t="str">
        <f t="shared" si="5"/>
        <v/>
      </c>
      <c r="N37" s="4" t="str">
        <f t="shared" si="2"/>
        <v/>
      </c>
    </row>
    <row r="38" spans="5:14" x14ac:dyDescent="0.3">
      <c r="E38" s="7"/>
      <c r="F38" s="8">
        <v>24</v>
      </c>
      <c r="G38" s="10">
        <f t="shared" si="3"/>
        <v>46813</v>
      </c>
      <c r="H38" s="4">
        <f t="shared" si="0"/>
        <v>499.13499999999999</v>
      </c>
      <c r="J38" s="10">
        <f t="shared" si="4"/>
        <v>46813</v>
      </c>
      <c r="K38" s="4">
        <f t="shared" si="1"/>
        <v>590.10250000000008</v>
      </c>
      <c r="M38" s="10" t="str">
        <f t="shared" si="5"/>
        <v/>
      </c>
      <c r="N38" s="4" t="str">
        <f t="shared" si="2"/>
        <v/>
      </c>
    </row>
    <row r="39" spans="5:14" x14ac:dyDescent="0.3">
      <c r="E39" s="7"/>
      <c r="F39" s="8">
        <v>25</v>
      </c>
      <c r="G39" s="10">
        <f t="shared" si="3"/>
        <v>46844</v>
      </c>
      <c r="H39" s="4">
        <f t="shared" si="0"/>
        <v>499.13499999999999</v>
      </c>
      <c r="J39" s="10">
        <f t="shared" si="4"/>
        <v>46844</v>
      </c>
      <c r="K39" s="4">
        <f t="shared" si="1"/>
        <v>590.10250000000008</v>
      </c>
      <c r="M39" s="10" t="str">
        <f t="shared" si="5"/>
        <v/>
      </c>
      <c r="N39" s="4" t="str">
        <f t="shared" si="2"/>
        <v/>
      </c>
    </row>
    <row r="40" spans="5:14" x14ac:dyDescent="0.3">
      <c r="E40" s="7"/>
      <c r="F40" s="8">
        <v>26</v>
      </c>
      <c r="G40" s="10">
        <f t="shared" si="3"/>
        <v>46874</v>
      </c>
      <c r="H40" s="4">
        <f t="shared" si="0"/>
        <v>499.13499999999999</v>
      </c>
      <c r="J40" s="10">
        <f t="shared" si="4"/>
        <v>46874</v>
      </c>
      <c r="K40" s="4">
        <f t="shared" si="1"/>
        <v>590.10250000000008</v>
      </c>
      <c r="M40" s="10" t="str">
        <f t="shared" si="5"/>
        <v/>
      </c>
      <c r="N40" s="4" t="str">
        <f t="shared" si="2"/>
        <v/>
      </c>
    </row>
    <row r="41" spans="5:14" x14ac:dyDescent="0.3">
      <c r="E41" s="7"/>
      <c r="F41" s="8">
        <v>27</v>
      </c>
      <c r="G41" s="10">
        <f t="shared" si="3"/>
        <v>46905</v>
      </c>
      <c r="H41" s="4">
        <f t="shared" si="0"/>
        <v>499.13499999999999</v>
      </c>
      <c r="J41" s="10">
        <f t="shared" si="4"/>
        <v>46905</v>
      </c>
      <c r="K41" s="4">
        <f t="shared" si="1"/>
        <v>590.10250000000008</v>
      </c>
      <c r="M41" s="10" t="str">
        <f t="shared" si="5"/>
        <v/>
      </c>
      <c r="N41" s="4" t="str">
        <f t="shared" si="2"/>
        <v/>
      </c>
    </row>
    <row r="42" spans="5:14" x14ac:dyDescent="0.3">
      <c r="E42" s="7"/>
      <c r="F42" s="8">
        <v>28</v>
      </c>
      <c r="G42" s="10">
        <f t="shared" si="3"/>
        <v>46935</v>
      </c>
      <c r="H42" s="4">
        <f t="shared" si="0"/>
        <v>499.13499999999999</v>
      </c>
      <c r="J42" s="10">
        <f t="shared" si="4"/>
        <v>46935</v>
      </c>
      <c r="K42" s="4">
        <f t="shared" si="1"/>
        <v>590.10250000000008</v>
      </c>
      <c r="M42" s="10" t="str">
        <f t="shared" si="5"/>
        <v/>
      </c>
      <c r="N42" s="4" t="str">
        <f t="shared" si="2"/>
        <v/>
      </c>
    </row>
    <row r="43" spans="5:14" x14ac:dyDescent="0.3">
      <c r="E43" s="7"/>
      <c r="F43" s="8">
        <v>29</v>
      </c>
      <c r="G43" s="10">
        <f t="shared" si="3"/>
        <v>46966</v>
      </c>
      <c r="H43" s="4">
        <f t="shared" si="0"/>
        <v>499.13499999999999</v>
      </c>
      <c r="J43" s="10">
        <f t="shared" si="4"/>
        <v>46966</v>
      </c>
      <c r="K43" s="4">
        <f t="shared" si="1"/>
        <v>590.10250000000008</v>
      </c>
      <c r="M43" s="10" t="str">
        <f t="shared" si="5"/>
        <v/>
      </c>
      <c r="N43" s="4" t="str">
        <f t="shared" si="2"/>
        <v/>
      </c>
    </row>
    <row r="44" spans="5:14" x14ac:dyDescent="0.3">
      <c r="E44" s="7"/>
      <c r="F44" s="8">
        <v>30</v>
      </c>
      <c r="G44" s="10">
        <f t="shared" si="3"/>
        <v>46997</v>
      </c>
      <c r="H44" s="4">
        <f t="shared" si="0"/>
        <v>499.13499999999999</v>
      </c>
      <c r="J44" s="10">
        <f t="shared" si="4"/>
        <v>46997</v>
      </c>
      <c r="K44" s="4">
        <f t="shared" si="1"/>
        <v>590.10250000000008</v>
      </c>
      <c r="M44" s="10" t="str">
        <f t="shared" si="5"/>
        <v/>
      </c>
      <c r="N44" s="4" t="str">
        <f t="shared" si="2"/>
        <v/>
      </c>
    </row>
    <row r="45" spans="5:14" x14ac:dyDescent="0.3">
      <c r="E45" s="7"/>
      <c r="F45" s="8">
        <v>31</v>
      </c>
      <c r="G45" s="10">
        <f t="shared" si="3"/>
        <v>47027</v>
      </c>
      <c r="H45" s="4">
        <f t="shared" si="0"/>
        <v>499.13499999999999</v>
      </c>
      <c r="J45" s="10" t="str">
        <f t="shared" si="4"/>
        <v/>
      </c>
      <c r="K45" s="4" t="str">
        <f t="shared" si="1"/>
        <v/>
      </c>
      <c r="M45" s="10" t="str">
        <f t="shared" si="5"/>
        <v/>
      </c>
      <c r="N45" s="4" t="str">
        <f t="shared" si="2"/>
        <v/>
      </c>
    </row>
    <row r="46" spans="5:14" x14ac:dyDescent="0.3">
      <c r="E46" s="7"/>
      <c r="F46" s="8">
        <v>32</v>
      </c>
      <c r="G46" s="10">
        <f t="shared" si="3"/>
        <v>47058</v>
      </c>
      <c r="H46" s="4">
        <f t="shared" si="0"/>
        <v>499.13499999999999</v>
      </c>
      <c r="J46" s="10" t="str">
        <f t="shared" si="4"/>
        <v/>
      </c>
      <c r="K46" s="4" t="str">
        <f t="shared" si="1"/>
        <v/>
      </c>
      <c r="M46" s="10" t="str">
        <f t="shared" si="5"/>
        <v/>
      </c>
      <c r="N46" s="4" t="str">
        <f t="shared" si="2"/>
        <v/>
      </c>
    </row>
    <row r="47" spans="5:14" x14ac:dyDescent="0.3">
      <c r="E47" s="7"/>
      <c r="F47" s="8">
        <v>33</v>
      </c>
      <c r="G47" s="10">
        <f t="shared" si="3"/>
        <v>47088</v>
      </c>
      <c r="H47" s="4">
        <f t="shared" ref="H47:H63" si="6">IF(G47&lt;$D$2,($C$10+((1-$D$16)*(H$6*$D$6/H$4)))*(1+$D$15)*$D$7,IF(G47="","",H$10/H$4))</f>
        <v>499.13499999999999</v>
      </c>
      <c r="J47" s="10" t="str">
        <f t="shared" si="4"/>
        <v/>
      </c>
      <c r="K47" s="4" t="str">
        <f t="shared" ref="K47:K63" si="7">IF(J47&lt;$D$2,($C$10+((1-$D$16)*(K$6*$D$6/K$4)))*(1+$D$15)*$D$7,IF(J47="","",K$10/K$4))</f>
        <v/>
      </c>
      <c r="M47" s="10" t="str">
        <f t="shared" si="5"/>
        <v/>
      </c>
      <c r="N47" s="4" t="str">
        <f t="shared" ref="N47:N63" si="8">IF(M47&lt;$D$2,($C$10+((1-$D$16)*(N$6*$D$6/N$4)))*(1+$D$15)*$D$7,IF(M47="","",N$10/N$4))</f>
        <v/>
      </c>
    </row>
    <row r="48" spans="5:14" x14ac:dyDescent="0.3">
      <c r="E48" s="7"/>
      <c r="F48" s="8">
        <v>34</v>
      </c>
      <c r="G48" s="10">
        <f t="shared" si="3"/>
        <v>47119</v>
      </c>
      <c r="H48" s="4">
        <f t="shared" si="6"/>
        <v>499.13499999999999</v>
      </c>
      <c r="J48" s="10" t="str">
        <f t="shared" si="4"/>
        <v/>
      </c>
      <c r="K48" s="4" t="str">
        <f t="shared" si="7"/>
        <v/>
      </c>
      <c r="M48" s="10" t="str">
        <f t="shared" si="5"/>
        <v/>
      </c>
      <c r="N48" s="4" t="str">
        <f t="shared" si="8"/>
        <v/>
      </c>
    </row>
    <row r="49" spans="5:14" x14ac:dyDescent="0.3">
      <c r="E49" s="7"/>
      <c r="F49" s="8">
        <v>35</v>
      </c>
      <c r="G49" s="10">
        <f t="shared" si="3"/>
        <v>47150</v>
      </c>
      <c r="H49" s="4">
        <f t="shared" si="6"/>
        <v>499.13499999999999</v>
      </c>
      <c r="J49" s="10" t="str">
        <f t="shared" si="4"/>
        <v/>
      </c>
      <c r="K49" s="4" t="str">
        <f t="shared" si="7"/>
        <v/>
      </c>
      <c r="M49" s="10" t="str">
        <f t="shared" si="5"/>
        <v/>
      </c>
      <c r="N49" s="4" t="str">
        <f t="shared" si="8"/>
        <v/>
      </c>
    </row>
    <row r="50" spans="5:14" x14ac:dyDescent="0.3">
      <c r="E50" s="7"/>
      <c r="F50" s="8">
        <v>36</v>
      </c>
      <c r="G50" s="10">
        <f t="shared" si="3"/>
        <v>47178</v>
      </c>
      <c r="H50" s="4">
        <f t="shared" si="6"/>
        <v>499.13499999999999</v>
      </c>
      <c r="J50" s="10" t="str">
        <f t="shared" si="4"/>
        <v/>
      </c>
      <c r="K50" s="4" t="str">
        <f t="shared" si="7"/>
        <v/>
      </c>
      <c r="M50" s="10" t="str">
        <f t="shared" si="5"/>
        <v/>
      </c>
      <c r="N50" s="4" t="str">
        <f t="shared" si="8"/>
        <v/>
      </c>
    </row>
    <row r="51" spans="5:14" x14ac:dyDescent="0.3">
      <c r="F51" s="8">
        <v>37</v>
      </c>
      <c r="G51" s="10">
        <f t="shared" si="3"/>
        <v>47209</v>
      </c>
      <c r="H51" s="4">
        <f t="shared" si="6"/>
        <v>499.13499999999999</v>
      </c>
      <c r="J51" s="10" t="str">
        <f t="shared" si="4"/>
        <v/>
      </c>
      <c r="K51" s="4" t="str">
        <f t="shared" si="7"/>
        <v/>
      </c>
      <c r="M51" s="10" t="str">
        <f t="shared" si="5"/>
        <v/>
      </c>
      <c r="N51" s="4" t="str">
        <f t="shared" si="8"/>
        <v/>
      </c>
    </row>
    <row r="52" spans="5:14" x14ac:dyDescent="0.3">
      <c r="F52" s="8">
        <v>38</v>
      </c>
      <c r="G52" s="10">
        <f t="shared" si="3"/>
        <v>47239</v>
      </c>
      <c r="H52" s="4">
        <f t="shared" si="6"/>
        <v>499.13499999999999</v>
      </c>
      <c r="J52" s="10" t="str">
        <f t="shared" si="4"/>
        <v/>
      </c>
      <c r="K52" s="4" t="str">
        <f t="shared" si="7"/>
        <v/>
      </c>
      <c r="M52" s="10" t="str">
        <f t="shared" si="5"/>
        <v/>
      </c>
      <c r="N52" s="4" t="str">
        <f t="shared" si="8"/>
        <v/>
      </c>
    </row>
    <row r="53" spans="5:14" x14ac:dyDescent="0.3">
      <c r="F53" s="8">
        <v>39</v>
      </c>
      <c r="G53" s="10">
        <f t="shared" si="3"/>
        <v>47270</v>
      </c>
      <c r="H53" s="4">
        <f t="shared" si="6"/>
        <v>499.13499999999999</v>
      </c>
      <c r="J53" s="10" t="str">
        <f t="shared" si="4"/>
        <v/>
      </c>
      <c r="K53" s="4" t="str">
        <f t="shared" si="7"/>
        <v/>
      </c>
      <c r="M53" s="10" t="str">
        <f t="shared" si="5"/>
        <v/>
      </c>
      <c r="N53" s="4" t="str">
        <f t="shared" si="8"/>
        <v/>
      </c>
    </row>
    <row r="54" spans="5:14" x14ac:dyDescent="0.3">
      <c r="F54" s="8">
        <v>40</v>
      </c>
      <c r="G54" s="10">
        <f t="shared" si="3"/>
        <v>47300</v>
      </c>
      <c r="H54" s="4">
        <f t="shared" si="6"/>
        <v>499.13499999999999</v>
      </c>
      <c r="J54" s="10" t="str">
        <f t="shared" si="4"/>
        <v/>
      </c>
      <c r="K54" s="4" t="str">
        <f t="shared" si="7"/>
        <v/>
      </c>
      <c r="M54" s="10" t="str">
        <f t="shared" si="5"/>
        <v/>
      </c>
      <c r="N54" s="4" t="str">
        <f t="shared" si="8"/>
        <v/>
      </c>
    </row>
    <row r="55" spans="5:14" x14ac:dyDescent="0.3">
      <c r="F55" s="8">
        <v>41</v>
      </c>
      <c r="G55" s="10">
        <f t="shared" si="3"/>
        <v>47331</v>
      </c>
      <c r="H55" s="4">
        <f t="shared" si="6"/>
        <v>499.13499999999999</v>
      </c>
      <c r="J55" s="10" t="str">
        <f t="shared" si="4"/>
        <v/>
      </c>
      <c r="K55" s="4" t="str">
        <f t="shared" si="7"/>
        <v/>
      </c>
      <c r="M55" s="10" t="str">
        <f t="shared" si="5"/>
        <v/>
      </c>
      <c r="N55" s="4" t="str">
        <f t="shared" si="8"/>
        <v/>
      </c>
    </row>
    <row r="56" spans="5:14" x14ac:dyDescent="0.3">
      <c r="F56" s="8">
        <v>42</v>
      </c>
      <c r="G56" s="10">
        <f t="shared" si="3"/>
        <v>47362</v>
      </c>
      <c r="H56" s="4">
        <f t="shared" si="6"/>
        <v>499.13499999999999</v>
      </c>
      <c r="J56" s="10" t="str">
        <f t="shared" si="4"/>
        <v/>
      </c>
      <c r="K56" s="4" t="str">
        <f t="shared" si="7"/>
        <v/>
      </c>
      <c r="M56" s="10" t="str">
        <f t="shared" si="5"/>
        <v/>
      </c>
      <c r="N56" s="4" t="str">
        <f t="shared" si="8"/>
        <v/>
      </c>
    </row>
    <row r="57" spans="5:14" x14ac:dyDescent="0.3">
      <c r="F57" s="8">
        <v>43</v>
      </c>
      <c r="G57" s="10" t="str">
        <f t="shared" si="3"/>
        <v/>
      </c>
      <c r="H57" s="4" t="str">
        <f t="shared" si="6"/>
        <v/>
      </c>
      <c r="J57" s="10" t="str">
        <f t="shared" si="4"/>
        <v/>
      </c>
      <c r="K57" s="4" t="str">
        <f t="shared" si="7"/>
        <v/>
      </c>
      <c r="M57" s="10" t="str">
        <f t="shared" si="5"/>
        <v/>
      </c>
      <c r="N57" s="4" t="str">
        <f t="shared" si="8"/>
        <v/>
      </c>
    </row>
    <row r="58" spans="5:14" x14ac:dyDescent="0.3">
      <c r="F58" s="8">
        <v>44</v>
      </c>
      <c r="G58" s="10" t="str">
        <f t="shared" si="3"/>
        <v/>
      </c>
      <c r="H58" s="4" t="str">
        <f t="shared" si="6"/>
        <v/>
      </c>
      <c r="J58" s="10" t="str">
        <f t="shared" si="4"/>
        <v/>
      </c>
      <c r="K58" s="4" t="str">
        <f t="shared" si="7"/>
        <v/>
      </c>
      <c r="M58" s="10" t="str">
        <f t="shared" si="5"/>
        <v/>
      </c>
      <c r="N58" s="4" t="str">
        <f t="shared" si="8"/>
        <v/>
      </c>
    </row>
    <row r="59" spans="5:14" x14ac:dyDescent="0.3">
      <c r="F59" s="8">
        <v>45</v>
      </c>
      <c r="G59" s="10" t="str">
        <f t="shared" si="3"/>
        <v/>
      </c>
      <c r="H59" s="4" t="str">
        <f t="shared" si="6"/>
        <v/>
      </c>
      <c r="J59" s="10" t="str">
        <f t="shared" si="4"/>
        <v/>
      </c>
      <c r="K59" s="4" t="str">
        <f t="shared" si="7"/>
        <v/>
      </c>
      <c r="M59" s="10" t="str">
        <f t="shared" si="5"/>
        <v/>
      </c>
      <c r="N59" s="4" t="str">
        <f t="shared" si="8"/>
        <v/>
      </c>
    </row>
    <row r="60" spans="5:14" x14ac:dyDescent="0.3">
      <c r="F60" s="8">
        <v>46</v>
      </c>
      <c r="G60" s="10" t="str">
        <f t="shared" si="3"/>
        <v/>
      </c>
      <c r="H60" s="4" t="str">
        <f t="shared" si="6"/>
        <v/>
      </c>
      <c r="J60" s="10" t="str">
        <f t="shared" si="4"/>
        <v/>
      </c>
      <c r="K60" s="4" t="str">
        <f t="shared" si="7"/>
        <v/>
      </c>
      <c r="M60" s="10" t="str">
        <f t="shared" si="5"/>
        <v/>
      </c>
      <c r="N60" s="4" t="str">
        <f t="shared" si="8"/>
        <v/>
      </c>
    </row>
    <row r="61" spans="5:14" x14ac:dyDescent="0.3">
      <c r="F61" s="8">
        <v>47</v>
      </c>
      <c r="G61" s="10" t="str">
        <f t="shared" si="3"/>
        <v/>
      </c>
      <c r="H61" s="4" t="str">
        <f t="shared" si="6"/>
        <v/>
      </c>
      <c r="J61" s="10" t="str">
        <f t="shared" si="4"/>
        <v/>
      </c>
      <c r="K61" s="4" t="str">
        <f t="shared" si="7"/>
        <v/>
      </c>
      <c r="M61" s="10" t="str">
        <f t="shared" si="5"/>
        <v/>
      </c>
      <c r="N61" s="4" t="str">
        <f t="shared" si="8"/>
        <v/>
      </c>
    </row>
    <row r="62" spans="5:14" x14ac:dyDescent="0.3">
      <c r="F62" s="8">
        <v>48</v>
      </c>
      <c r="G62" s="10" t="str">
        <f t="shared" si="3"/>
        <v/>
      </c>
      <c r="H62" s="4" t="str">
        <f t="shared" si="6"/>
        <v/>
      </c>
      <c r="J62" s="10" t="str">
        <f t="shared" si="4"/>
        <v/>
      </c>
      <c r="K62" s="4" t="str">
        <f t="shared" si="7"/>
        <v/>
      </c>
      <c r="M62" s="10" t="str">
        <f t="shared" si="5"/>
        <v/>
      </c>
      <c r="N62" s="4" t="str">
        <f t="shared" si="8"/>
        <v/>
      </c>
    </row>
    <row r="63" spans="5:14" x14ac:dyDescent="0.3">
      <c r="F63" s="8">
        <v>49</v>
      </c>
      <c r="G63" s="10" t="str">
        <f t="shared" si="3"/>
        <v/>
      </c>
      <c r="H63" s="4" t="str">
        <f t="shared" si="6"/>
        <v/>
      </c>
      <c r="J63" s="10" t="str">
        <f t="shared" si="4"/>
        <v/>
      </c>
      <c r="K63" s="4" t="str">
        <f t="shared" si="7"/>
        <v/>
      </c>
      <c r="M63" s="10" t="str">
        <f t="shared" si="5"/>
        <v/>
      </c>
      <c r="N63" s="4" t="str">
        <f t="shared" si="8"/>
        <v/>
      </c>
    </row>
  </sheetData>
  <mergeCells count="2">
    <mergeCell ref="B16:B17"/>
    <mergeCell ref="D16:D1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0393-5028-44D9-935E-E5FA93CFE69A}">
  <sheetPr>
    <tabColor theme="9"/>
  </sheetPr>
  <dimension ref="B1:M67"/>
  <sheetViews>
    <sheetView showGridLines="0" topLeftCell="A2" zoomScale="110" zoomScaleNormal="110" workbookViewId="0">
      <selection activeCell="C16" sqref="C16"/>
    </sheetView>
  </sheetViews>
  <sheetFormatPr defaultRowHeight="14.4" x14ac:dyDescent="0.3"/>
  <cols>
    <col min="2" max="2" width="24.77734375" customWidth="1"/>
    <col min="3" max="3" width="12.21875" bestFit="1" customWidth="1"/>
    <col min="4" max="4" width="4.77734375" customWidth="1"/>
    <col min="5" max="5" width="22.109375" bestFit="1" customWidth="1"/>
    <col min="6" max="6" width="12.33203125" bestFit="1" customWidth="1"/>
    <col min="7" max="7" width="14.88671875" customWidth="1"/>
    <col min="8" max="8" width="3" customWidth="1"/>
    <col min="9" max="9" width="26.33203125" bestFit="1" customWidth="1"/>
    <col min="10" max="10" width="11.6640625" customWidth="1"/>
    <col min="11" max="11" width="4.21875" customWidth="1"/>
    <col min="13" max="13" width="15.33203125" customWidth="1"/>
    <col min="14" max="14" width="3.33203125" customWidth="1"/>
  </cols>
  <sheetData>
    <row r="1" spans="2:13" x14ac:dyDescent="0.3">
      <c r="B1" s="6" t="s">
        <v>225</v>
      </c>
    </row>
    <row r="3" spans="2:13" x14ac:dyDescent="0.3">
      <c r="B3" s="2" t="s">
        <v>29</v>
      </c>
      <c r="C3" s="13" t="s">
        <v>43</v>
      </c>
    </row>
    <row r="5" spans="2:13" ht="15" thickBot="1" x14ac:dyDescent="0.35">
      <c r="F5" s="41" t="s">
        <v>227</v>
      </c>
      <c r="G5" s="42" t="s">
        <v>4</v>
      </c>
      <c r="I5" s="50" t="str">
        <f>D16</f>
        <v>2 ANOS</v>
      </c>
      <c r="J5" s="50"/>
      <c r="K5" s="50"/>
      <c r="L5" s="50"/>
      <c r="M5" s="50"/>
    </row>
    <row r="6" spans="2:13" ht="15" thickTop="1" x14ac:dyDescent="0.3">
      <c r="B6" s="2" t="s">
        <v>25</v>
      </c>
      <c r="C6" s="37">
        <v>46654</v>
      </c>
      <c r="E6" s="2" t="s">
        <v>226</v>
      </c>
      <c r="F6" s="39">
        <v>0.3</v>
      </c>
    </row>
    <row r="7" spans="2:13" x14ac:dyDescent="0.3">
      <c r="B7" s="2" t="s">
        <v>24</v>
      </c>
      <c r="C7" s="37">
        <v>47020</v>
      </c>
      <c r="E7" s="2" t="s">
        <v>26</v>
      </c>
      <c r="F7" s="39">
        <v>0.2</v>
      </c>
      <c r="G7" s="33">
        <f>C11-(C11*F7)</f>
        <v>428.4</v>
      </c>
      <c r="I7" s="2" t="s">
        <v>1</v>
      </c>
      <c r="J7" s="40">
        <f>$C$9*$C$10*$G$12</f>
        <v>5092.2000000000007</v>
      </c>
      <c r="L7" s="5" t="s">
        <v>3</v>
      </c>
      <c r="M7" s="9" t="s">
        <v>4</v>
      </c>
    </row>
    <row r="8" spans="2:13" x14ac:dyDescent="0.3">
      <c r="B8" s="28" t="s">
        <v>247</v>
      </c>
      <c r="C8" s="29">
        <v>46296</v>
      </c>
      <c r="E8" s="2"/>
      <c r="F8" s="39"/>
      <c r="G8" s="33"/>
      <c r="I8" s="2" t="s">
        <v>17</v>
      </c>
      <c r="J8" s="4">
        <f>$G$7*$C$9*$C$10*$D$17</f>
        <v>4626.72</v>
      </c>
      <c r="K8">
        <v>1</v>
      </c>
      <c r="L8" s="10">
        <f>$C$8</f>
        <v>46296</v>
      </c>
      <c r="M8" s="4">
        <f t="shared" ref="M8:M39" si="0">IF(L8&lt;=$C$6,(($G$12*$C$9*$C$10)+(($G$7-($G$7*$F$10))*$D$17*$C$9*$C$10)+($C$14*$C$16*$C$10))*(1+$F$6)/$C$16,IF(L8="","",IF(L8&lt;=$C$7,(($G$12*$C$9*$C$10)+(($G$7-($G$7*$F$11))*$D$17*$C$9*$C$10)+($C$14*$C$16*$C$10))*(1+$F$6)/$C$16,(($G$12*$C$9*$C$10)+($G$9*$D$17*$C$9*$C$10)+($C$14*$C$16*$C$10))*(1+$F$6)/$C$16)))</f>
        <v>656.44150000000013</v>
      </c>
    </row>
    <row r="9" spans="2:13" x14ac:dyDescent="0.3">
      <c r="B9" s="2" t="s">
        <v>8</v>
      </c>
      <c r="C9" s="3">
        <v>5.4</v>
      </c>
      <c r="E9" s="2" t="s">
        <v>241</v>
      </c>
      <c r="F9" s="39">
        <v>0</v>
      </c>
      <c r="G9" s="33">
        <f>C12-(C12*F9)</f>
        <v>535.5</v>
      </c>
      <c r="I9" s="2" t="str">
        <f>"Custo Operacional "&amp;D16&amp;" (R$)"</f>
        <v>Custo Operacional 2 ANOS (R$)</v>
      </c>
      <c r="J9" s="4">
        <f>$C$14*$C$10*C$16</f>
        <v>2400</v>
      </c>
      <c r="K9">
        <v>2</v>
      </c>
      <c r="L9" s="10">
        <f t="shared" ref="L9:L40" si="1">IF(C$16&gt;=$K9,EDATE(L8,1),"")</f>
        <v>46327</v>
      </c>
      <c r="M9" s="4">
        <f t="shared" si="0"/>
        <v>656.44150000000013</v>
      </c>
    </row>
    <row r="10" spans="2:13" x14ac:dyDescent="0.3">
      <c r="B10" s="2" t="s">
        <v>9</v>
      </c>
      <c r="C10" s="13">
        <v>1</v>
      </c>
      <c r="E10" s="2" t="s">
        <v>228</v>
      </c>
      <c r="F10" s="39">
        <v>0</v>
      </c>
      <c r="I10" s="43" t="s">
        <v>18</v>
      </c>
      <c r="J10" s="44">
        <f>(($G$12*$C$9*$C$10)+($G$7*$D$17*$C$9*$C$10)+($C$14*$C$16*$C$10))*(1+$F$6)</f>
        <v>15754.596000000003</v>
      </c>
      <c r="K10">
        <v>3</v>
      </c>
      <c r="L10" s="10">
        <f t="shared" si="1"/>
        <v>46357</v>
      </c>
      <c r="M10" s="4">
        <f t="shared" si="0"/>
        <v>656.44150000000013</v>
      </c>
    </row>
    <row r="11" spans="2:13" x14ac:dyDescent="0.3">
      <c r="B11" s="2" t="s">
        <v>240</v>
      </c>
      <c r="C11" s="33">
        <f>IFERROR(VLOOKUP($C$3,Tabela1[],4,0),"")</f>
        <v>535.5</v>
      </c>
      <c r="E11" s="2" t="s">
        <v>229</v>
      </c>
      <c r="F11" s="39">
        <v>0</v>
      </c>
      <c r="I11" s="45" t="s">
        <v>15</v>
      </c>
      <c r="J11" s="44">
        <f>J10/C16</f>
        <v>656.44150000000013</v>
      </c>
      <c r="K11">
        <v>4</v>
      </c>
      <c r="L11" s="10">
        <f t="shared" si="1"/>
        <v>46388</v>
      </c>
      <c r="M11" s="4">
        <f t="shared" si="0"/>
        <v>656.44150000000013</v>
      </c>
    </row>
    <row r="12" spans="2:13" x14ac:dyDescent="0.3">
      <c r="B12" s="11" t="s">
        <v>242</v>
      </c>
      <c r="C12" s="33">
        <f>IFERROR(VLOOKUP($C$3,Tabela1[],5,0),"")</f>
        <v>535.5</v>
      </c>
      <c r="E12" s="2" t="s">
        <v>243</v>
      </c>
      <c r="F12" s="39">
        <v>0</v>
      </c>
      <c r="G12" s="33">
        <f>C13-(C13*F12)</f>
        <v>943</v>
      </c>
      <c r="K12">
        <v>5</v>
      </c>
      <c r="L12" s="10">
        <f t="shared" si="1"/>
        <v>46419</v>
      </c>
      <c r="M12" s="4">
        <f t="shared" si="0"/>
        <v>656.44150000000013</v>
      </c>
    </row>
    <row r="13" spans="2:13" x14ac:dyDescent="0.3">
      <c r="B13" s="2" t="s">
        <v>7</v>
      </c>
      <c r="C13" s="33">
        <f>IFERROR(VLOOKUP($C$3,Tabela1[],3,0),"")</f>
        <v>943</v>
      </c>
      <c r="I13" s="2" t="s">
        <v>20</v>
      </c>
      <c r="J13" s="4">
        <f>IFERROR(J10-J15,"")</f>
        <v>-5.4569682106375694E-12</v>
      </c>
      <c r="K13">
        <v>6</v>
      </c>
      <c r="L13" s="10">
        <f t="shared" si="1"/>
        <v>46447</v>
      </c>
      <c r="M13" s="4">
        <f t="shared" si="0"/>
        <v>656.44150000000013</v>
      </c>
    </row>
    <row r="14" spans="2:13" ht="14.4" customHeight="1" x14ac:dyDescent="0.3">
      <c r="B14" s="2" t="s">
        <v>248</v>
      </c>
      <c r="C14" s="3">
        <v>100</v>
      </c>
      <c r="K14">
        <v>7</v>
      </c>
      <c r="L14" s="10">
        <f t="shared" si="1"/>
        <v>46478</v>
      </c>
      <c r="M14" s="4">
        <f t="shared" si="0"/>
        <v>656.44150000000013</v>
      </c>
    </row>
    <row r="15" spans="2:13" x14ac:dyDescent="0.3">
      <c r="I15" s="46" t="s">
        <v>245</v>
      </c>
      <c r="J15" s="47">
        <f>SUM(M8:M67)</f>
        <v>15754.596000000009</v>
      </c>
      <c r="K15">
        <v>8</v>
      </c>
      <c r="L15" s="10">
        <f t="shared" si="1"/>
        <v>46508</v>
      </c>
      <c r="M15" s="4">
        <f t="shared" si="0"/>
        <v>656.44150000000013</v>
      </c>
    </row>
    <row r="16" spans="2:13" x14ac:dyDescent="0.3">
      <c r="B16" s="2" t="s">
        <v>230</v>
      </c>
      <c r="C16" s="13">
        <v>24</v>
      </c>
      <c r="D16" s="8" t="str">
        <f>IFERROR(VLOOKUP(C16,Tabela2[],2,0),"")</f>
        <v>2 ANOS</v>
      </c>
      <c r="I16" s="46" t="s">
        <v>246</v>
      </c>
      <c r="J16" s="47">
        <f>$J$15/$C$16</f>
        <v>656.44150000000036</v>
      </c>
      <c r="K16">
        <v>9</v>
      </c>
      <c r="L16" s="10">
        <f t="shared" si="1"/>
        <v>46539</v>
      </c>
      <c r="M16" s="4">
        <f t="shared" si="0"/>
        <v>656.44150000000013</v>
      </c>
    </row>
    <row r="17" spans="2:13" x14ac:dyDescent="0.3">
      <c r="D17" s="8">
        <f>C16/12</f>
        <v>2</v>
      </c>
      <c r="J17" s="1"/>
      <c r="K17">
        <v>10</v>
      </c>
      <c r="L17" s="10">
        <f t="shared" si="1"/>
        <v>46569</v>
      </c>
      <c r="M17" s="4">
        <f t="shared" si="0"/>
        <v>656.44150000000013</v>
      </c>
    </row>
    <row r="18" spans="2:13" x14ac:dyDescent="0.3">
      <c r="K18">
        <v>11</v>
      </c>
      <c r="L18" s="10">
        <f t="shared" si="1"/>
        <v>46600</v>
      </c>
      <c r="M18" s="4">
        <f t="shared" si="0"/>
        <v>656.44150000000013</v>
      </c>
    </row>
    <row r="19" spans="2:13" x14ac:dyDescent="0.3">
      <c r="K19">
        <v>12</v>
      </c>
      <c r="L19" s="10">
        <f t="shared" si="1"/>
        <v>46631</v>
      </c>
      <c r="M19" s="4">
        <f t="shared" si="0"/>
        <v>656.44150000000013</v>
      </c>
    </row>
    <row r="20" spans="2:13" x14ac:dyDescent="0.3">
      <c r="K20">
        <v>13</v>
      </c>
      <c r="L20" s="10">
        <f t="shared" si="1"/>
        <v>46661</v>
      </c>
      <c r="M20" s="4">
        <f t="shared" si="0"/>
        <v>656.44150000000013</v>
      </c>
    </row>
    <row r="21" spans="2:13" x14ac:dyDescent="0.3">
      <c r="B21" t="s">
        <v>251</v>
      </c>
      <c r="C21" t="s">
        <v>249</v>
      </c>
      <c r="K21">
        <v>14</v>
      </c>
      <c r="L21" s="10">
        <f t="shared" si="1"/>
        <v>46692</v>
      </c>
      <c r="M21" s="4">
        <f t="shared" si="0"/>
        <v>656.44150000000013</v>
      </c>
    </row>
    <row r="22" spans="2:13" x14ac:dyDescent="0.3">
      <c r="B22" t="s">
        <v>252</v>
      </c>
      <c r="C22" t="s">
        <v>250</v>
      </c>
      <c r="K22">
        <v>15</v>
      </c>
      <c r="L22" s="10">
        <f t="shared" si="1"/>
        <v>46722</v>
      </c>
      <c r="M22" s="4">
        <f t="shared" si="0"/>
        <v>656.44150000000013</v>
      </c>
    </row>
    <row r="23" spans="2:13" x14ac:dyDescent="0.3">
      <c r="K23">
        <v>16</v>
      </c>
      <c r="L23" s="10">
        <f t="shared" si="1"/>
        <v>46753</v>
      </c>
      <c r="M23" s="4">
        <f t="shared" si="0"/>
        <v>656.44150000000013</v>
      </c>
    </row>
    <row r="24" spans="2:13" x14ac:dyDescent="0.3">
      <c r="K24">
        <v>17</v>
      </c>
      <c r="L24" s="10">
        <f t="shared" si="1"/>
        <v>46784</v>
      </c>
      <c r="M24" s="4">
        <f t="shared" si="0"/>
        <v>656.44150000000013</v>
      </c>
    </row>
    <row r="25" spans="2:13" x14ac:dyDescent="0.3">
      <c r="K25">
        <v>18</v>
      </c>
      <c r="L25" s="10">
        <f t="shared" si="1"/>
        <v>46813</v>
      </c>
      <c r="M25" s="4">
        <f t="shared" si="0"/>
        <v>656.44150000000013</v>
      </c>
    </row>
    <row r="26" spans="2:13" x14ac:dyDescent="0.3">
      <c r="K26">
        <v>19</v>
      </c>
      <c r="L26" s="10">
        <f t="shared" si="1"/>
        <v>46844</v>
      </c>
      <c r="M26" s="4">
        <f t="shared" si="0"/>
        <v>656.44150000000013</v>
      </c>
    </row>
    <row r="27" spans="2:13" x14ac:dyDescent="0.3">
      <c r="K27">
        <v>20</v>
      </c>
      <c r="L27" s="10">
        <f t="shared" si="1"/>
        <v>46874</v>
      </c>
      <c r="M27" s="4">
        <f t="shared" si="0"/>
        <v>656.44150000000013</v>
      </c>
    </row>
    <row r="28" spans="2:13" x14ac:dyDescent="0.3">
      <c r="K28">
        <v>21</v>
      </c>
      <c r="L28" s="10">
        <f t="shared" si="1"/>
        <v>46905</v>
      </c>
      <c r="M28" s="4">
        <f t="shared" si="0"/>
        <v>656.44150000000013</v>
      </c>
    </row>
    <row r="29" spans="2:13" x14ac:dyDescent="0.3">
      <c r="K29">
        <v>22</v>
      </c>
      <c r="L29" s="10">
        <f t="shared" si="1"/>
        <v>46935</v>
      </c>
      <c r="M29" s="4">
        <f t="shared" si="0"/>
        <v>656.44150000000013</v>
      </c>
    </row>
    <row r="30" spans="2:13" x14ac:dyDescent="0.3">
      <c r="K30">
        <v>23</v>
      </c>
      <c r="L30" s="10">
        <f t="shared" si="1"/>
        <v>46966</v>
      </c>
      <c r="M30" s="4">
        <f t="shared" si="0"/>
        <v>656.44150000000013</v>
      </c>
    </row>
    <row r="31" spans="2:13" x14ac:dyDescent="0.3">
      <c r="K31">
        <v>24</v>
      </c>
      <c r="L31" s="10">
        <f t="shared" si="1"/>
        <v>46997</v>
      </c>
      <c r="M31" s="4">
        <f t="shared" si="0"/>
        <v>656.44150000000013</v>
      </c>
    </row>
    <row r="32" spans="2:13" x14ac:dyDescent="0.3">
      <c r="K32">
        <v>25</v>
      </c>
      <c r="L32" s="10" t="str">
        <f t="shared" si="1"/>
        <v/>
      </c>
      <c r="M32" s="4" t="str">
        <f t="shared" si="0"/>
        <v/>
      </c>
    </row>
    <row r="33" spans="11:13" x14ac:dyDescent="0.3">
      <c r="K33">
        <v>26</v>
      </c>
      <c r="L33" s="10" t="str">
        <f t="shared" si="1"/>
        <v/>
      </c>
      <c r="M33" s="4" t="str">
        <f t="shared" si="0"/>
        <v/>
      </c>
    </row>
    <row r="34" spans="11:13" x14ac:dyDescent="0.3">
      <c r="K34">
        <v>27</v>
      </c>
      <c r="L34" s="10" t="str">
        <f t="shared" si="1"/>
        <v/>
      </c>
      <c r="M34" s="4" t="str">
        <f t="shared" si="0"/>
        <v/>
      </c>
    </row>
    <row r="35" spans="11:13" x14ac:dyDescent="0.3">
      <c r="K35">
        <v>28</v>
      </c>
      <c r="L35" s="10" t="str">
        <f t="shared" si="1"/>
        <v/>
      </c>
      <c r="M35" s="4" t="str">
        <f t="shared" si="0"/>
        <v/>
      </c>
    </row>
    <row r="36" spans="11:13" x14ac:dyDescent="0.3">
      <c r="K36">
        <v>29</v>
      </c>
      <c r="L36" s="10" t="str">
        <f t="shared" si="1"/>
        <v/>
      </c>
      <c r="M36" s="4" t="str">
        <f t="shared" si="0"/>
        <v/>
      </c>
    </row>
    <row r="37" spans="11:13" x14ac:dyDescent="0.3">
      <c r="K37">
        <v>30</v>
      </c>
      <c r="L37" s="10" t="str">
        <f t="shared" si="1"/>
        <v/>
      </c>
      <c r="M37" s="4" t="str">
        <f t="shared" si="0"/>
        <v/>
      </c>
    </row>
    <row r="38" spans="11:13" x14ac:dyDescent="0.3">
      <c r="K38">
        <v>31</v>
      </c>
      <c r="L38" s="10" t="str">
        <f t="shared" si="1"/>
        <v/>
      </c>
      <c r="M38" s="4" t="str">
        <f t="shared" si="0"/>
        <v/>
      </c>
    </row>
    <row r="39" spans="11:13" x14ac:dyDescent="0.3">
      <c r="K39">
        <v>32</v>
      </c>
      <c r="L39" s="10" t="str">
        <f t="shared" si="1"/>
        <v/>
      </c>
      <c r="M39" s="4" t="str">
        <f t="shared" si="0"/>
        <v/>
      </c>
    </row>
    <row r="40" spans="11:13" x14ac:dyDescent="0.3">
      <c r="K40">
        <v>33</v>
      </c>
      <c r="L40" s="10" t="str">
        <f t="shared" si="1"/>
        <v/>
      </c>
      <c r="M40" s="4" t="str">
        <f t="shared" ref="M40:M67" si="2">IF(L40&lt;=$C$6,(($G$12*$C$9*$C$10)+(($G$7-($G$7*$F$10))*$D$17*$C$9*$C$10)+($C$14*$C$16*$C$10))*(1+$F$6)/$C$16,IF(L40="","",IF(L40&lt;=$C$7,(($G$12*$C$9*$C$10)+(($G$7-($G$7*$F$11))*$D$17*$C$9*$C$10)+($C$14*$C$16*$C$10))*(1+$F$6)/$C$16,(($G$12*$C$9*$C$10)+($G$9*$D$17*$C$9*$C$10)+($C$14*$C$16*$C$10))*(1+$F$6)/$C$16)))</f>
        <v/>
      </c>
    </row>
    <row r="41" spans="11:13" x14ac:dyDescent="0.3">
      <c r="K41">
        <v>34</v>
      </c>
      <c r="L41" s="10" t="str">
        <f t="shared" ref="L41:L67" si="3">IF(C$16&gt;=$K41,EDATE(L40,1),"")</f>
        <v/>
      </c>
      <c r="M41" s="4" t="str">
        <f t="shared" si="2"/>
        <v/>
      </c>
    </row>
    <row r="42" spans="11:13" x14ac:dyDescent="0.3">
      <c r="K42">
        <v>35</v>
      </c>
      <c r="L42" s="10" t="str">
        <f t="shared" si="3"/>
        <v/>
      </c>
      <c r="M42" s="4" t="str">
        <f t="shared" si="2"/>
        <v/>
      </c>
    </row>
    <row r="43" spans="11:13" x14ac:dyDescent="0.3">
      <c r="K43">
        <v>36</v>
      </c>
      <c r="L43" s="10" t="str">
        <f t="shared" si="3"/>
        <v/>
      </c>
      <c r="M43" s="4" t="str">
        <f t="shared" si="2"/>
        <v/>
      </c>
    </row>
    <row r="44" spans="11:13" x14ac:dyDescent="0.3">
      <c r="K44">
        <v>37</v>
      </c>
      <c r="L44" s="10" t="str">
        <f t="shared" si="3"/>
        <v/>
      </c>
      <c r="M44" s="4" t="str">
        <f t="shared" si="2"/>
        <v/>
      </c>
    </row>
    <row r="45" spans="11:13" x14ac:dyDescent="0.3">
      <c r="K45">
        <v>38</v>
      </c>
      <c r="L45" s="10" t="str">
        <f t="shared" si="3"/>
        <v/>
      </c>
      <c r="M45" s="4" t="str">
        <f t="shared" si="2"/>
        <v/>
      </c>
    </row>
    <row r="46" spans="11:13" x14ac:dyDescent="0.3">
      <c r="K46">
        <v>39</v>
      </c>
      <c r="L46" s="10" t="str">
        <f t="shared" si="3"/>
        <v/>
      </c>
      <c r="M46" s="4" t="str">
        <f t="shared" si="2"/>
        <v/>
      </c>
    </row>
    <row r="47" spans="11:13" x14ac:dyDescent="0.3">
      <c r="K47">
        <v>40</v>
      </c>
      <c r="L47" s="10" t="str">
        <f t="shared" si="3"/>
        <v/>
      </c>
      <c r="M47" s="4" t="str">
        <f t="shared" si="2"/>
        <v/>
      </c>
    </row>
    <row r="48" spans="11:13" x14ac:dyDescent="0.3">
      <c r="K48">
        <v>41</v>
      </c>
      <c r="L48" s="10" t="str">
        <f t="shared" si="3"/>
        <v/>
      </c>
      <c r="M48" s="4" t="str">
        <f t="shared" si="2"/>
        <v/>
      </c>
    </row>
    <row r="49" spans="11:13" x14ac:dyDescent="0.3">
      <c r="K49">
        <v>42</v>
      </c>
      <c r="L49" s="10" t="str">
        <f t="shared" si="3"/>
        <v/>
      </c>
      <c r="M49" s="4" t="str">
        <f t="shared" si="2"/>
        <v/>
      </c>
    </row>
    <row r="50" spans="11:13" x14ac:dyDescent="0.3">
      <c r="K50">
        <v>43</v>
      </c>
      <c r="L50" s="10" t="str">
        <f t="shared" si="3"/>
        <v/>
      </c>
      <c r="M50" s="4" t="str">
        <f t="shared" si="2"/>
        <v/>
      </c>
    </row>
    <row r="51" spans="11:13" x14ac:dyDescent="0.3">
      <c r="K51">
        <v>44</v>
      </c>
      <c r="L51" s="10" t="str">
        <f t="shared" si="3"/>
        <v/>
      </c>
      <c r="M51" s="4" t="str">
        <f t="shared" si="2"/>
        <v/>
      </c>
    </row>
    <row r="52" spans="11:13" x14ac:dyDescent="0.3">
      <c r="K52">
        <v>45</v>
      </c>
      <c r="L52" s="10" t="str">
        <f t="shared" si="3"/>
        <v/>
      </c>
      <c r="M52" s="4" t="str">
        <f t="shared" si="2"/>
        <v/>
      </c>
    </row>
    <row r="53" spans="11:13" x14ac:dyDescent="0.3">
      <c r="K53">
        <v>46</v>
      </c>
      <c r="L53" s="10" t="str">
        <f t="shared" si="3"/>
        <v/>
      </c>
      <c r="M53" s="4" t="str">
        <f t="shared" si="2"/>
        <v/>
      </c>
    </row>
    <row r="54" spans="11:13" x14ac:dyDescent="0.3">
      <c r="K54">
        <v>47</v>
      </c>
      <c r="L54" s="10" t="str">
        <f t="shared" si="3"/>
        <v/>
      </c>
      <c r="M54" s="4" t="str">
        <f t="shared" si="2"/>
        <v/>
      </c>
    </row>
    <row r="55" spans="11:13" x14ac:dyDescent="0.3">
      <c r="K55">
        <v>48</v>
      </c>
      <c r="L55" s="10" t="str">
        <f t="shared" si="3"/>
        <v/>
      </c>
      <c r="M55" s="4" t="str">
        <f t="shared" si="2"/>
        <v/>
      </c>
    </row>
    <row r="56" spans="11:13" x14ac:dyDescent="0.3">
      <c r="K56">
        <v>49</v>
      </c>
      <c r="L56" s="10" t="str">
        <f t="shared" si="3"/>
        <v/>
      </c>
      <c r="M56" s="4" t="str">
        <f t="shared" si="2"/>
        <v/>
      </c>
    </row>
    <row r="57" spans="11:13" x14ac:dyDescent="0.3">
      <c r="K57">
        <v>50</v>
      </c>
      <c r="L57" s="10" t="str">
        <f t="shared" si="3"/>
        <v/>
      </c>
      <c r="M57" s="4" t="str">
        <f t="shared" si="2"/>
        <v/>
      </c>
    </row>
    <row r="58" spans="11:13" x14ac:dyDescent="0.3">
      <c r="K58">
        <v>51</v>
      </c>
      <c r="L58" s="10" t="str">
        <f t="shared" si="3"/>
        <v/>
      </c>
      <c r="M58" s="4" t="str">
        <f t="shared" si="2"/>
        <v/>
      </c>
    </row>
    <row r="59" spans="11:13" x14ac:dyDescent="0.3">
      <c r="K59">
        <v>52</v>
      </c>
      <c r="L59" s="10" t="str">
        <f t="shared" si="3"/>
        <v/>
      </c>
      <c r="M59" s="4" t="str">
        <f t="shared" si="2"/>
        <v/>
      </c>
    </row>
    <row r="60" spans="11:13" x14ac:dyDescent="0.3">
      <c r="K60">
        <v>53</v>
      </c>
      <c r="L60" s="10" t="str">
        <f t="shared" si="3"/>
        <v/>
      </c>
      <c r="M60" s="4" t="str">
        <f t="shared" si="2"/>
        <v/>
      </c>
    </row>
    <row r="61" spans="11:13" x14ac:dyDescent="0.3">
      <c r="K61">
        <v>54</v>
      </c>
      <c r="L61" s="10" t="str">
        <f t="shared" si="3"/>
        <v/>
      </c>
      <c r="M61" s="4" t="str">
        <f t="shared" si="2"/>
        <v/>
      </c>
    </row>
    <row r="62" spans="11:13" x14ac:dyDescent="0.3">
      <c r="K62">
        <v>55</v>
      </c>
      <c r="L62" s="10" t="str">
        <f t="shared" si="3"/>
        <v/>
      </c>
      <c r="M62" s="4" t="str">
        <f t="shared" si="2"/>
        <v/>
      </c>
    </row>
    <row r="63" spans="11:13" x14ac:dyDescent="0.3">
      <c r="K63">
        <v>56</v>
      </c>
      <c r="L63" s="10" t="str">
        <f t="shared" si="3"/>
        <v/>
      </c>
      <c r="M63" s="4" t="str">
        <f t="shared" si="2"/>
        <v/>
      </c>
    </row>
    <row r="64" spans="11:13" x14ac:dyDescent="0.3">
      <c r="K64">
        <v>57</v>
      </c>
      <c r="L64" s="10" t="str">
        <f t="shared" si="3"/>
        <v/>
      </c>
      <c r="M64" s="4" t="str">
        <f t="shared" si="2"/>
        <v/>
      </c>
    </row>
    <row r="65" spans="11:13" x14ac:dyDescent="0.3">
      <c r="K65">
        <v>58</v>
      </c>
      <c r="L65" s="10" t="str">
        <f t="shared" si="3"/>
        <v/>
      </c>
      <c r="M65" s="4" t="str">
        <f t="shared" si="2"/>
        <v/>
      </c>
    </row>
    <row r="66" spans="11:13" x14ac:dyDescent="0.3">
      <c r="K66">
        <v>59</v>
      </c>
      <c r="L66" s="10" t="str">
        <f t="shared" si="3"/>
        <v/>
      </c>
      <c r="M66" s="4" t="str">
        <f t="shared" si="2"/>
        <v/>
      </c>
    </row>
    <row r="67" spans="11:13" x14ac:dyDescent="0.3">
      <c r="K67">
        <v>60</v>
      </c>
      <c r="L67" s="10" t="str">
        <f t="shared" si="3"/>
        <v/>
      </c>
      <c r="M67" s="4" t="str">
        <f t="shared" si="2"/>
        <v/>
      </c>
    </row>
  </sheetData>
  <mergeCells count="1">
    <mergeCell ref="I5:M5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2A712E-EE1B-465E-9F18-2532693B84DD}">
          <x14:formula1>
            <xm:f>'TABELA DE PREÇO'!$F$4:$F$100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53E9-64BD-4055-9FA2-9155FCEC31F1}">
  <sheetPr>
    <tabColor theme="4"/>
  </sheetPr>
  <dimension ref="B2:L100"/>
  <sheetViews>
    <sheetView showGridLines="0" tabSelected="1" workbookViewId="0">
      <selection activeCell="J16" sqref="J16"/>
    </sheetView>
  </sheetViews>
  <sheetFormatPr defaultRowHeight="14.4" x14ac:dyDescent="0.3"/>
  <cols>
    <col min="1" max="1" width="4.88671875" customWidth="1"/>
    <col min="6" max="7" width="14.5546875" customWidth="1"/>
    <col min="8" max="8" width="17.77734375" customWidth="1"/>
    <col min="9" max="9" width="13.33203125" customWidth="1"/>
    <col min="10" max="10" width="12.77734375" customWidth="1"/>
    <col min="11" max="11" width="13.6640625" customWidth="1"/>
    <col min="12" max="12" width="12.109375" bestFit="1" customWidth="1"/>
  </cols>
  <sheetData>
    <row r="2" spans="2:12" x14ac:dyDescent="0.3">
      <c r="I2" s="24"/>
      <c r="J2" s="24"/>
      <c r="K2" s="24"/>
    </row>
    <row r="3" spans="2:12" s="25" customFormat="1" ht="28.8" x14ac:dyDescent="0.3">
      <c r="B3" s="25" t="s">
        <v>231</v>
      </c>
      <c r="C3" s="25" t="s">
        <v>232</v>
      </c>
      <c r="D3" s="25" t="s">
        <v>244</v>
      </c>
      <c r="F3" s="25" t="s">
        <v>21</v>
      </c>
      <c r="G3" s="25" t="s">
        <v>127</v>
      </c>
      <c r="H3" s="26" t="s">
        <v>239</v>
      </c>
      <c r="I3" s="26" t="s">
        <v>237</v>
      </c>
      <c r="J3" s="26" t="s">
        <v>238</v>
      </c>
      <c r="K3" s="26" t="s">
        <v>22</v>
      </c>
      <c r="L3" s="38" t="s">
        <v>236</v>
      </c>
    </row>
    <row r="4" spans="2:12" x14ac:dyDescent="0.3">
      <c r="B4">
        <v>12</v>
      </c>
      <c r="C4" t="s">
        <v>233</v>
      </c>
      <c r="D4">
        <v>1</v>
      </c>
      <c r="F4" t="s">
        <v>31</v>
      </c>
      <c r="G4" t="s">
        <v>128</v>
      </c>
      <c r="H4" s="32">
        <v>551</v>
      </c>
      <c r="I4" s="32">
        <v>304.5</v>
      </c>
      <c r="J4" s="32">
        <v>304.5</v>
      </c>
      <c r="K4" s="32">
        <v>304.5</v>
      </c>
      <c r="L4" s="32">
        <v>551</v>
      </c>
    </row>
    <row r="5" spans="2:12" x14ac:dyDescent="0.3">
      <c r="B5">
        <v>24</v>
      </c>
      <c r="C5" t="s">
        <v>11</v>
      </c>
      <c r="D5">
        <v>2</v>
      </c>
      <c r="F5" t="s">
        <v>32</v>
      </c>
      <c r="G5" t="s">
        <v>129</v>
      </c>
      <c r="H5" s="32">
        <v>692</v>
      </c>
      <c r="I5" s="32">
        <v>350.7</v>
      </c>
      <c r="J5" s="32">
        <v>350.7</v>
      </c>
      <c r="K5" s="32">
        <v>350.7</v>
      </c>
      <c r="L5" s="32">
        <v>692</v>
      </c>
    </row>
    <row r="6" spans="2:12" x14ac:dyDescent="0.3">
      <c r="B6">
        <v>36</v>
      </c>
      <c r="C6" t="s">
        <v>10</v>
      </c>
      <c r="D6">
        <v>3</v>
      </c>
      <c r="F6" t="s">
        <v>33</v>
      </c>
      <c r="G6" t="s">
        <v>130</v>
      </c>
      <c r="H6" s="32">
        <v>690</v>
      </c>
      <c r="I6" s="32">
        <v>381.5</v>
      </c>
      <c r="J6" s="32">
        <v>381.5</v>
      </c>
      <c r="K6" s="32">
        <v>381.5</v>
      </c>
      <c r="L6" s="32">
        <v>690</v>
      </c>
    </row>
    <row r="7" spans="2:12" x14ac:dyDescent="0.3">
      <c r="B7">
        <f>12*4</f>
        <v>48</v>
      </c>
      <c r="C7" t="s">
        <v>234</v>
      </c>
      <c r="D7">
        <v>4</v>
      </c>
      <c r="F7" t="s">
        <v>34</v>
      </c>
      <c r="G7" t="s">
        <v>131</v>
      </c>
      <c r="H7" s="32">
        <v>1331</v>
      </c>
      <c r="I7" s="32">
        <v>735.7</v>
      </c>
      <c r="J7" s="32">
        <v>735.7</v>
      </c>
      <c r="K7" s="32">
        <v>735.7</v>
      </c>
      <c r="L7" s="32">
        <v>1331</v>
      </c>
    </row>
    <row r="8" spans="2:12" x14ac:dyDescent="0.3">
      <c r="B8">
        <f>12*5</f>
        <v>60</v>
      </c>
      <c r="C8" t="s">
        <v>235</v>
      </c>
      <c r="D8">
        <v>5</v>
      </c>
      <c r="F8" t="s">
        <v>35</v>
      </c>
      <c r="G8" t="s">
        <v>132</v>
      </c>
      <c r="H8" s="32">
        <v>904</v>
      </c>
      <c r="I8" s="32">
        <v>458.5</v>
      </c>
      <c r="J8" s="32">
        <v>458.5</v>
      </c>
      <c r="K8" s="32">
        <v>458.5</v>
      </c>
      <c r="L8" s="32">
        <v>904</v>
      </c>
    </row>
    <row r="9" spans="2:12" x14ac:dyDescent="0.3">
      <c r="F9" t="s">
        <v>36</v>
      </c>
      <c r="G9" t="s">
        <v>133</v>
      </c>
      <c r="H9" s="32">
        <v>1967</v>
      </c>
      <c r="I9" s="32">
        <v>997.5</v>
      </c>
      <c r="J9" s="32">
        <v>997.5</v>
      </c>
      <c r="K9" s="32">
        <v>997.5</v>
      </c>
      <c r="L9" s="32">
        <v>1967</v>
      </c>
    </row>
    <row r="10" spans="2:12" x14ac:dyDescent="0.3">
      <c r="F10" t="s">
        <v>37</v>
      </c>
      <c r="G10" t="s">
        <v>134</v>
      </c>
      <c r="H10" s="32">
        <v>1214</v>
      </c>
      <c r="I10" s="32">
        <v>616</v>
      </c>
      <c r="J10" s="32">
        <v>616</v>
      </c>
      <c r="K10" s="32">
        <v>616</v>
      </c>
      <c r="L10" s="32">
        <v>1214</v>
      </c>
    </row>
    <row r="11" spans="2:12" x14ac:dyDescent="0.3">
      <c r="F11" t="s">
        <v>38</v>
      </c>
      <c r="G11" t="s">
        <v>135</v>
      </c>
      <c r="H11" s="32">
        <v>987</v>
      </c>
      <c r="I11" s="32">
        <v>500.5</v>
      </c>
      <c r="J11" s="32">
        <v>500.5</v>
      </c>
      <c r="K11" s="32">
        <v>500.5</v>
      </c>
      <c r="L11" s="32">
        <v>987</v>
      </c>
    </row>
    <row r="12" spans="2:12" x14ac:dyDescent="0.3">
      <c r="F12" t="s">
        <v>39</v>
      </c>
      <c r="G12" t="s">
        <v>136</v>
      </c>
      <c r="H12" s="32">
        <v>1518</v>
      </c>
      <c r="I12" s="32">
        <v>770</v>
      </c>
      <c r="J12" s="32">
        <v>770</v>
      </c>
      <c r="K12" s="32">
        <v>770</v>
      </c>
      <c r="L12" s="32">
        <v>1518</v>
      </c>
    </row>
    <row r="13" spans="2:12" x14ac:dyDescent="0.3">
      <c r="F13" t="s">
        <v>40</v>
      </c>
      <c r="G13" t="s">
        <v>137</v>
      </c>
      <c r="H13" s="32">
        <v>1030</v>
      </c>
      <c r="I13" s="32">
        <v>500.5</v>
      </c>
      <c r="J13" s="32">
        <v>500.5</v>
      </c>
      <c r="K13" s="32">
        <v>500.5</v>
      </c>
      <c r="L13" s="32">
        <v>1030</v>
      </c>
    </row>
    <row r="14" spans="2:12" x14ac:dyDescent="0.3">
      <c r="F14" t="s">
        <v>41</v>
      </c>
      <c r="G14" t="s">
        <v>138</v>
      </c>
      <c r="H14" s="32">
        <v>2202</v>
      </c>
      <c r="I14" s="32">
        <v>1070.3</v>
      </c>
      <c r="J14" s="32">
        <v>1070.3</v>
      </c>
      <c r="K14" s="32">
        <v>1070.3</v>
      </c>
      <c r="L14" s="32">
        <v>2202</v>
      </c>
    </row>
    <row r="15" spans="2:12" x14ac:dyDescent="0.3">
      <c r="F15" t="s">
        <v>42</v>
      </c>
      <c r="G15" t="s">
        <v>139</v>
      </c>
      <c r="H15" s="32">
        <v>1742</v>
      </c>
      <c r="I15" s="32">
        <v>847</v>
      </c>
      <c r="J15" s="32">
        <v>847</v>
      </c>
      <c r="K15" s="32">
        <v>847</v>
      </c>
      <c r="L15" s="32">
        <v>1742</v>
      </c>
    </row>
    <row r="16" spans="2:12" x14ac:dyDescent="0.3">
      <c r="F16" t="s">
        <v>43</v>
      </c>
      <c r="G16" t="s">
        <v>140</v>
      </c>
      <c r="H16" s="32">
        <v>943</v>
      </c>
      <c r="I16" s="32">
        <v>535.5</v>
      </c>
      <c r="J16" s="32">
        <v>535.5</v>
      </c>
      <c r="K16" s="32">
        <v>535.5</v>
      </c>
      <c r="L16" s="32">
        <v>943</v>
      </c>
    </row>
    <row r="17" spans="6:12" x14ac:dyDescent="0.3">
      <c r="F17" t="s">
        <v>44</v>
      </c>
      <c r="G17" t="s">
        <v>141</v>
      </c>
      <c r="H17" s="32">
        <v>1247</v>
      </c>
      <c r="I17" s="32">
        <v>689.5</v>
      </c>
      <c r="J17" s="32">
        <v>689.5</v>
      </c>
      <c r="K17" s="32">
        <v>689.5</v>
      </c>
      <c r="L17" s="32">
        <v>1247</v>
      </c>
    </row>
    <row r="18" spans="6:12" x14ac:dyDescent="0.3">
      <c r="F18" t="s">
        <v>45</v>
      </c>
      <c r="G18" t="s">
        <v>142</v>
      </c>
      <c r="H18" s="32">
        <v>1291</v>
      </c>
      <c r="I18" s="32">
        <v>701.4</v>
      </c>
      <c r="J18" s="32">
        <v>701.4</v>
      </c>
      <c r="K18" s="32">
        <v>701.4</v>
      </c>
      <c r="L18" s="32">
        <v>1291</v>
      </c>
    </row>
    <row r="19" spans="6:12" x14ac:dyDescent="0.3">
      <c r="F19" t="s">
        <v>46</v>
      </c>
      <c r="G19" t="s">
        <v>143</v>
      </c>
      <c r="H19" s="32">
        <v>1638</v>
      </c>
      <c r="I19" s="32">
        <v>889.7</v>
      </c>
      <c r="J19" s="32">
        <v>889.7</v>
      </c>
      <c r="K19" s="32">
        <v>889.7</v>
      </c>
      <c r="L19" s="32">
        <v>1638</v>
      </c>
    </row>
    <row r="20" spans="6:12" x14ac:dyDescent="0.3">
      <c r="F20" t="s">
        <v>47</v>
      </c>
      <c r="G20" t="s">
        <v>144</v>
      </c>
      <c r="H20" s="32">
        <v>1172</v>
      </c>
      <c r="I20" s="32">
        <v>745.5</v>
      </c>
      <c r="J20" s="32">
        <v>745.5</v>
      </c>
      <c r="K20" s="32">
        <v>745.5</v>
      </c>
      <c r="L20" s="32">
        <v>1172</v>
      </c>
    </row>
    <row r="21" spans="6:12" x14ac:dyDescent="0.3">
      <c r="F21" t="s">
        <v>48</v>
      </c>
      <c r="G21" t="s">
        <v>145</v>
      </c>
      <c r="H21" s="32">
        <v>1441</v>
      </c>
      <c r="I21" s="32">
        <v>782.6</v>
      </c>
      <c r="J21" s="32">
        <v>782.6</v>
      </c>
      <c r="K21" s="32">
        <v>782.6</v>
      </c>
      <c r="L21" s="32">
        <v>1441</v>
      </c>
    </row>
    <row r="22" spans="6:12" x14ac:dyDescent="0.3">
      <c r="F22" t="s">
        <v>49</v>
      </c>
      <c r="G22" t="s">
        <v>146</v>
      </c>
      <c r="H22" s="32">
        <v>1786</v>
      </c>
      <c r="I22" s="32">
        <v>970.2</v>
      </c>
      <c r="J22" s="32">
        <v>970.2</v>
      </c>
      <c r="K22" s="32">
        <v>970.2</v>
      </c>
      <c r="L22" s="32">
        <v>1786</v>
      </c>
    </row>
    <row r="23" spans="6:12" x14ac:dyDescent="0.3">
      <c r="F23" t="s">
        <v>50</v>
      </c>
      <c r="G23" t="s">
        <v>147</v>
      </c>
      <c r="H23" s="32">
        <v>1852</v>
      </c>
      <c r="I23" s="32">
        <v>1178.0999999999999</v>
      </c>
      <c r="J23" s="32">
        <v>1178.0999999999999</v>
      </c>
      <c r="K23" s="32">
        <v>1178.0999999999999</v>
      </c>
      <c r="L23" s="32">
        <v>1852</v>
      </c>
    </row>
    <row r="24" spans="6:12" x14ac:dyDescent="0.3">
      <c r="F24" t="s">
        <v>51</v>
      </c>
      <c r="G24" t="s">
        <v>148</v>
      </c>
      <c r="H24" s="32">
        <v>1876</v>
      </c>
      <c r="I24" s="32">
        <v>1193.5</v>
      </c>
      <c r="J24" s="32">
        <v>1193.5</v>
      </c>
      <c r="K24" s="32">
        <v>1193.5</v>
      </c>
      <c r="L24" s="32">
        <v>1876</v>
      </c>
    </row>
    <row r="25" spans="6:12" x14ac:dyDescent="0.3">
      <c r="F25" t="s">
        <v>52</v>
      </c>
      <c r="G25" t="s">
        <v>149</v>
      </c>
      <c r="H25" s="32">
        <v>2159</v>
      </c>
      <c r="I25" s="32">
        <v>1373.4</v>
      </c>
      <c r="J25" s="32">
        <v>1373.4</v>
      </c>
      <c r="K25" s="32">
        <v>1373.4</v>
      </c>
      <c r="L25" s="32">
        <v>2159</v>
      </c>
    </row>
    <row r="26" spans="6:12" x14ac:dyDescent="0.3">
      <c r="F26" t="s">
        <v>53</v>
      </c>
      <c r="G26" t="s">
        <v>150</v>
      </c>
      <c r="H26" s="32">
        <v>2393</v>
      </c>
      <c r="I26" s="32">
        <v>1522.5</v>
      </c>
      <c r="J26" s="32">
        <v>1522.5</v>
      </c>
      <c r="K26" s="32">
        <v>1522.5</v>
      </c>
      <c r="L26" s="32">
        <v>2393</v>
      </c>
    </row>
    <row r="27" spans="6:12" x14ac:dyDescent="0.3">
      <c r="F27" t="s">
        <v>54</v>
      </c>
      <c r="G27" t="s">
        <v>151</v>
      </c>
      <c r="H27" s="32">
        <v>2469</v>
      </c>
      <c r="I27" s="32">
        <v>1570.8</v>
      </c>
      <c r="J27" s="32">
        <v>1570.8</v>
      </c>
      <c r="K27" s="32">
        <v>1570.8</v>
      </c>
      <c r="L27" s="32">
        <v>2469</v>
      </c>
    </row>
    <row r="28" spans="6:12" x14ac:dyDescent="0.3">
      <c r="F28" t="s">
        <v>28</v>
      </c>
      <c r="G28" t="s">
        <v>152</v>
      </c>
      <c r="H28" s="32">
        <v>3006</v>
      </c>
      <c r="I28" s="32">
        <v>1738.8</v>
      </c>
      <c r="J28" s="32">
        <v>1738.8</v>
      </c>
      <c r="K28" s="32">
        <v>1738.8</v>
      </c>
      <c r="L28" s="32">
        <v>3006</v>
      </c>
    </row>
    <row r="29" spans="6:12" x14ac:dyDescent="0.3">
      <c r="F29" t="s">
        <v>55</v>
      </c>
      <c r="G29" t="s">
        <v>153</v>
      </c>
      <c r="H29" s="32">
        <v>3565</v>
      </c>
      <c r="I29" s="32">
        <v>2062.1999999999998</v>
      </c>
      <c r="J29" s="32">
        <v>2062.1999999999998</v>
      </c>
      <c r="K29" s="32">
        <v>2062.1999999999998</v>
      </c>
      <c r="L29" s="32">
        <v>3565</v>
      </c>
    </row>
    <row r="30" spans="6:12" x14ac:dyDescent="0.3">
      <c r="F30" t="s">
        <v>56</v>
      </c>
      <c r="G30" t="s">
        <v>154</v>
      </c>
      <c r="H30" s="32">
        <v>4356</v>
      </c>
      <c r="I30" s="32">
        <v>2520</v>
      </c>
      <c r="J30" s="32">
        <v>2520</v>
      </c>
      <c r="K30" s="32">
        <v>2520</v>
      </c>
      <c r="L30" s="32">
        <v>4356</v>
      </c>
    </row>
    <row r="31" spans="6:12" x14ac:dyDescent="0.3">
      <c r="F31" t="s">
        <v>57</v>
      </c>
      <c r="G31" t="s">
        <v>155</v>
      </c>
      <c r="H31" s="32">
        <v>5009</v>
      </c>
      <c r="I31" s="32">
        <v>2772</v>
      </c>
      <c r="J31" s="32">
        <v>2772</v>
      </c>
      <c r="K31" s="32">
        <v>2772</v>
      </c>
      <c r="L31" s="32">
        <v>5009</v>
      </c>
    </row>
    <row r="32" spans="6:12" x14ac:dyDescent="0.3">
      <c r="F32" t="s">
        <v>58</v>
      </c>
      <c r="G32" t="s">
        <v>156</v>
      </c>
      <c r="H32" s="32">
        <v>7319</v>
      </c>
      <c r="I32" s="32">
        <v>4657.1000000000004</v>
      </c>
      <c r="J32" s="32">
        <v>4657.1000000000004</v>
      </c>
      <c r="K32" s="32">
        <v>4657.1000000000004</v>
      </c>
      <c r="L32" s="32">
        <v>7319</v>
      </c>
    </row>
    <row r="33" spans="6:12" x14ac:dyDescent="0.3">
      <c r="F33" t="s">
        <v>59</v>
      </c>
      <c r="G33" t="s">
        <v>157</v>
      </c>
      <c r="H33" s="32">
        <v>10930</v>
      </c>
      <c r="I33" s="32">
        <v>5544</v>
      </c>
      <c r="J33" s="32">
        <v>5544</v>
      </c>
      <c r="K33" s="32">
        <v>5544</v>
      </c>
      <c r="L33" s="32">
        <v>10930</v>
      </c>
    </row>
    <row r="34" spans="6:12" x14ac:dyDescent="0.3">
      <c r="F34" t="s">
        <v>60</v>
      </c>
      <c r="G34" t="s">
        <v>158</v>
      </c>
      <c r="H34" s="32">
        <v>8415</v>
      </c>
      <c r="I34" s="32">
        <v>5355</v>
      </c>
      <c r="J34" s="32">
        <v>5355</v>
      </c>
      <c r="K34" s="32">
        <v>5355</v>
      </c>
      <c r="L34" s="32">
        <v>8415</v>
      </c>
    </row>
    <row r="35" spans="6:12" x14ac:dyDescent="0.3">
      <c r="F35" t="s">
        <v>61</v>
      </c>
      <c r="G35" t="s">
        <v>159</v>
      </c>
      <c r="H35" s="32">
        <v>12089</v>
      </c>
      <c r="I35" s="32">
        <v>6132</v>
      </c>
      <c r="J35" s="32">
        <v>6132</v>
      </c>
      <c r="K35" s="32">
        <v>6132</v>
      </c>
      <c r="L35" s="32">
        <v>12089</v>
      </c>
    </row>
    <row r="36" spans="6:12" x14ac:dyDescent="0.3">
      <c r="F36" t="s">
        <v>62</v>
      </c>
      <c r="G36" t="s">
        <v>160</v>
      </c>
      <c r="H36" s="32">
        <v>9105</v>
      </c>
      <c r="I36" s="32">
        <v>5793.9</v>
      </c>
      <c r="J36" s="32">
        <v>5793.9</v>
      </c>
      <c r="K36" s="32">
        <v>5793.9</v>
      </c>
      <c r="L36" s="32">
        <v>9105</v>
      </c>
    </row>
    <row r="37" spans="6:12" x14ac:dyDescent="0.3">
      <c r="F37" t="s">
        <v>63</v>
      </c>
      <c r="G37" t="s">
        <v>161</v>
      </c>
      <c r="H37" s="32">
        <v>17570</v>
      </c>
      <c r="I37" s="32">
        <v>10647.7</v>
      </c>
      <c r="J37" s="32">
        <v>10647.7</v>
      </c>
      <c r="K37" s="32">
        <v>10647.7</v>
      </c>
      <c r="L37" s="32">
        <v>17570</v>
      </c>
    </row>
    <row r="38" spans="6:12" x14ac:dyDescent="0.3">
      <c r="F38" t="s">
        <v>64</v>
      </c>
      <c r="G38" t="s">
        <v>162</v>
      </c>
      <c r="H38" s="32">
        <v>17570</v>
      </c>
      <c r="I38" s="32">
        <v>10647.7</v>
      </c>
      <c r="J38" s="32">
        <v>10647.7</v>
      </c>
      <c r="K38" s="32">
        <v>10647.7</v>
      </c>
      <c r="L38" s="32">
        <v>17570</v>
      </c>
    </row>
    <row r="39" spans="6:12" x14ac:dyDescent="0.3">
      <c r="F39" t="s">
        <v>65</v>
      </c>
      <c r="G39" t="s">
        <v>163</v>
      </c>
      <c r="H39" s="32">
        <v>23520</v>
      </c>
      <c r="I39" s="32">
        <v>14700</v>
      </c>
      <c r="J39" s="32">
        <v>14700</v>
      </c>
      <c r="K39" s="32">
        <v>14700</v>
      </c>
      <c r="L39" s="32">
        <v>23520</v>
      </c>
    </row>
    <row r="40" spans="6:12" x14ac:dyDescent="0.3">
      <c r="F40" t="s">
        <v>66</v>
      </c>
      <c r="G40" t="s">
        <v>164</v>
      </c>
      <c r="H40" s="32">
        <v>21716</v>
      </c>
      <c r="I40" s="32">
        <v>12338.2</v>
      </c>
      <c r="J40" s="32">
        <v>12338.2</v>
      </c>
      <c r="K40" s="32">
        <v>12338.2</v>
      </c>
      <c r="L40" s="32">
        <v>21716</v>
      </c>
    </row>
    <row r="41" spans="6:12" x14ac:dyDescent="0.3">
      <c r="F41" t="s">
        <v>67</v>
      </c>
      <c r="G41" t="s">
        <v>165</v>
      </c>
      <c r="H41" s="32">
        <v>21716</v>
      </c>
      <c r="I41" s="32">
        <v>12338.2</v>
      </c>
      <c r="J41" s="32">
        <v>12338.2</v>
      </c>
      <c r="K41" s="32">
        <v>12338.2</v>
      </c>
      <c r="L41" s="32">
        <v>21716</v>
      </c>
    </row>
    <row r="42" spans="6:12" x14ac:dyDescent="0.3">
      <c r="F42" t="s">
        <v>68</v>
      </c>
      <c r="G42" t="s">
        <v>166</v>
      </c>
      <c r="H42" s="32">
        <v>26450</v>
      </c>
      <c r="I42" s="32">
        <v>16100</v>
      </c>
      <c r="J42" s="32">
        <v>16100</v>
      </c>
      <c r="K42" s="32">
        <v>16100</v>
      </c>
      <c r="L42" s="32">
        <v>26450</v>
      </c>
    </row>
    <row r="43" spans="6:12" x14ac:dyDescent="0.3">
      <c r="F43" t="s">
        <v>69</v>
      </c>
      <c r="G43" t="s">
        <v>167</v>
      </c>
      <c r="H43" s="32">
        <v>13636</v>
      </c>
      <c r="I43" s="32">
        <v>9545.2000000000007</v>
      </c>
      <c r="J43" s="32">
        <v>9545.2000000000007</v>
      </c>
      <c r="K43" s="32">
        <v>9545.2000000000007</v>
      </c>
      <c r="L43" s="32">
        <v>13636</v>
      </c>
    </row>
    <row r="44" spans="6:12" x14ac:dyDescent="0.3">
      <c r="F44" t="s">
        <v>70</v>
      </c>
      <c r="G44" t="s">
        <v>168</v>
      </c>
      <c r="H44" s="32">
        <v>15298</v>
      </c>
      <c r="I44" s="32">
        <v>10708.6</v>
      </c>
      <c r="J44" s="32">
        <v>10708.6</v>
      </c>
      <c r="K44" s="32">
        <v>10708.6</v>
      </c>
      <c r="L44" s="32">
        <v>15298</v>
      </c>
    </row>
    <row r="45" spans="6:12" x14ac:dyDescent="0.3">
      <c r="F45" t="s">
        <v>71</v>
      </c>
      <c r="G45" t="s">
        <v>169</v>
      </c>
      <c r="H45" s="32">
        <v>33396</v>
      </c>
      <c r="I45" s="32">
        <v>18480</v>
      </c>
      <c r="J45" s="32">
        <v>18480</v>
      </c>
      <c r="K45" s="32">
        <v>18480</v>
      </c>
      <c r="L45" s="32">
        <v>33396</v>
      </c>
    </row>
    <row r="46" spans="6:12" x14ac:dyDescent="0.3">
      <c r="F46" t="s">
        <v>72</v>
      </c>
      <c r="G46" t="s">
        <v>170</v>
      </c>
      <c r="H46" s="32">
        <v>36432</v>
      </c>
      <c r="I46" s="32">
        <v>20160</v>
      </c>
      <c r="J46" s="32">
        <v>20160</v>
      </c>
      <c r="K46" s="32">
        <v>20160</v>
      </c>
      <c r="L46" s="32">
        <v>36432</v>
      </c>
    </row>
    <row r="47" spans="6:12" x14ac:dyDescent="0.3">
      <c r="F47" t="s">
        <v>73</v>
      </c>
      <c r="G47" t="s">
        <v>171</v>
      </c>
      <c r="H47" s="32">
        <v>39600</v>
      </c>
      <c r="I47" s="32">
        <v>25200</v>
      </c>
      <c r="J47" s="32">
        <v>25200</v>
      </c>
      <c r="K47" s="32">
        <v>25200</v>
      </c>
      <c r="L47" s="32">
        <v>39600</v>
      </c>
    </row>
    <row r="48" spans="6:12" x14ac:dyDescent="0.3">
      <c r="F48" t="s">
        <v>74</v>
      </c>
      <c r="G48" t="s">
        <v>172</v>
      </c>
      <c r="H48" s="32">
        <v>39600</v>
      </c>
      <c r="I48" s="32">
        <v>25200</v>
      </c>
      <c r="J48" s="32">
        <v>25200</v>
      </c>
      <c r="K48" s="32">
        <v>25200</v>
      </c>
      <c r="L48" s="32">
        <v>39600</v>
      </c>
    </row>
    <row r="49" spans="6:12" x14ac:dyDescent="0.3">
      <c r="F49" t="s">
        <v>75</v>
      </c>
      <c r="G49" t="s">
        <v>173</v>
      </c>
      <c r="H49" s="32">
        <v>47058</v>
      </c>
      <c r="I49" s="32">
        <v>26040</v>
      </c>
      <c r="J49" s="32">
        <v>26040</v>
      </c>
      <c r="K49" s="32">
        <v>26040</v>
      </c>
      <c r="L49" s="32">
        <v>47058</v>
      </c>
    </row>
    <row r="50" spans="6:12" x14ac:dyDescent="0.3">
      <c r="F50" t="s">
        <v>76</v>
      </c>
      <c r="G50" t="s">
        <v>174</v>
      </c>
      <c r="H50" s="32">
        <v>47058</v>
      </c>
      <c r="I50" s="32">
        <v>26040</v>
      </c>
      <c r="J50" s="32">
        <v>26040</v>
      </c>
      <c r="K50" s="32">
        <v>26040</v>
      </c>
      <c r="L50" s="32">
        <v>47058</v>
      </c>
    </row>
    <row r="51" spans="6:12" x14ac:dyDescent="0.3">
      <c r="F51" t="s">
        <v>77</v>
      </c>
      <c r="G51" t="s">
        <v>175</v>
      </c>
      <c r="H51" s="32">
        <v>61318</v>
      </c>
      <c r="I51" s="32">
        <v>37162.300000000003</v>
      </c>
      <c r="J51" s="32">
        <v>37162.300000000003</v>
      </c>
      <c r="K51" s="32">
        <v>37162.300000000003</v>
      </c>
      <c r="L51" s="32">
        <v>61318</v>
      </c>
    </row>
    <row r="52" spans="6:12" x14ac:dyDescent="0.3">
      <c r="F52" t="s">
        <v>78</v>
      </c>
      <c r="G52" t="s">
        <v>176</v>
      </c>
      <c r="H52" s="32">
        <v>65476</v>
      </c>
      <c r="I52" s="32">
        <v>39682.300000000003</v>
      </c>
      <c r="J52" s="32">
        <v>39682.300000000003</v>
      </c>
      <c r="K52" s="32">
        <v>39682.300000000003</v>
      </c>
      <c r="L52" s="32">
        <v>65476</v>
      </c>
    </row>
    <row r="53" spans="6:12" x14ac:dyDescent="0.3">
      <c r="F53" t="s">
        <v>79</v>
      </c>
      <c r="G53" t="s">
        <v>177</v>
      </c>
      <c r="H53" s="32">
        <v>31754</v>
      </c>
      <c r="I53" s="32">
        <v>22227.8</v>
      </c>
      <c r="J53" s="32">
        <v>22227.8</v>
      </c>
      <c r="K53" s="32">
        <v>22227.8</v>
      </c>
      <c r="L53" s="32">
        <v>31754</v>
      </c>
    </row>
    <row r="54" spans="6:12" x14ac:dyDescent="0.3">
      <c r="F54" t="s">
        <v>80</v>
      </c>
      <c r="G54" t="s">
        <v>178</v>
      </c>
      <c r="H54" s="32">
        <v>31754</v>
      </c>
      <c r="I54" s="32">
        <v>22227.8</v>
      </c>
      <c r="J54" s="32">
        <v>22227.8</v>
      </c>
      <c r="K54" s="32">
        <v>22227.8</v>
      </c>
      <c r="L54" s="32">
        <v>31754</v>
      </c>
    </row>
    <row r="55" spans="6:12" x14ac:dyDescent="0.3">
      <c r="F55" t="s">
        <v>81</v>
      </c>
      <c r="G55" t="s">
        <v>179</v>
      </c>
      <c r="H55" s="32">
        <v>35924</v>
      </c>
      <c r="I55" s="32">
        <v>25146.799999999999</v>
      </c>
      <c r="J55" s="32">
        <v>25146.799999999999</v>
      </c>
      <c r="K55" s="32">
        <v>25146.799999999999</v>
      </c>
      <c r="L55" s="32">
        <v>35924</v>
      </c>
    </row>
    <row r="56" spans="6:12" x14ac:dyDescent="0.3">
      <c r="F56" t="s">
        <v>82</v>
      </c>
      <c r="G56" t="s">
        <v>180</v>
      </c>
      <c r="H56" s="32">
        <v>65843</v>
      </c>
      <c r="I56" s="32">
        <v>38796.1</v>
      </c>
      <c r="J56" s="32">
        <v>38796.1</v>
      </c>
      <c r="K56" s="32">
        <v>38796.1</v>
      </c>
      <c r="L56" s="32">
        <v>65843</v>
      </c>
    </row>
    <row r="57" spans="6:12" x14ac:dyDescent="0.3">
      <c r="F57" t="s">
        <v>83</v>
      </c>
      <c r="G57" t="s">
        <v>181</v>
      </c>
      <c r="H57" s="32">
        <v>65843</v>
      </c>
      <c r="I57" s="32">
        <v>38796.1</v>
      </c>
      <c r="J57" s="32">
        <v>38796.1</v>
      </c>
      <c r="K57" s="32">
        <v>38796.1</v>
      </c>
      <c r="L57" s="32">
        <v>65843</v>
      </c>
    </row>
    <row r="58" spans="6:12" x14ac:dyDescent="0.3">
      <c r="F58" t="s">
        <v>84</v>
      </c>
      <c r="G58" t="s">
        <v>182</v>
      </c>
      <c r="H58" s="32">
        <v>71331</v>
      </c>
      <c r="I58" s="32">
        <v>42029.4</v>
      </c>
      <c r="J58" s="32">
        <v>42029.4</v>
      </c>
      <c r="K58" s="32">
        <v>42029.4</v>
      </c>
      <c r="L58" s="32">
        <v>71331</v>
      </c>
    </row>
    <row r="59" spans="6:12" x14ac:dyDescent="0.3">
      <c r="F59" t="s">
        <v>85</v>
      </c>
      <c r="G59" t="s">
        <v>183</v>
      </c>
      <c r="H59" s="32">
        <v>71331</v>
      </c>
      <c r="I59" s="32">
        <v>42029.4</v>
      </c>
      <c r="J59" s="32">
        <v>42029.4</v>
      </c>
      <c r="K59" s="32">
        <v>42029.4</v>
      </c>
      <c r="L59" s="32">
        <v>71331</v>
      </c>
    </row>
    <row r="60" spans="6:12" x14ac:dyDescent="0.3">
      <c r="F60" t="s">
        <v>86</v>
      </c>
      <c r="G60" t="s">
        <v>184</v>
      </c>
      <c r="H60" s="32">
        <v>35427</v>
      </c>
      <c r="I60" s="32">
        <v>24798.9</v>
      </c>
      <c r="J60" s="32">
        <v>24798.9</v>
      </c>
      <c r="K60" s="32">
        <v>24798.9</v>
      </c>
      <c r="L60" s="32">
        <v>35427</v>
      </c>
    </row>
    <row r="61" spans="6:12" x14ac:dyDescent="0.3">
      <c r="F61" t="s">
        <v>87</v>
      </c>
      <c r="G61" t="s">
        <v>185</v>
      </c>
      <c r="H61" s="32">
        <v>37789</v>
      </c>
      <c r="I61" s="32">
        <v>26452.3</v>
      </c>
      <c r="J61" s="32">
        <v>26452.3</v>
      </c>
      <c r="K61" s="32">
        <v>26452.3</v>
      </c>
      <c r="L61" s="32">
        <v>37789</v>
      </c>
    </row>
    <row r="62" spans="6:12" x14ac:dyDescent="0.3">
      <c r="F62" t="s">
        <v>88</v>
      </c>
      <c r="G62" t="s">
        <v>186</v>
      </c>
      <c r="H62" s="32">
        <v>26242</v>
      </c>
      <c r="I62" s="32">
        <v>18369.400000000001</v>
      </c>
      <c r="J62" s="32">
        <v>18369.400000000001</v>
      </c>
      <c r="K62" s="32">
        <v>18369.400000000001</v>
      </c>
      <c r="L62" s="32">
        <v>26242</v>
      </c>
    </row>
    <row r="63" spans="6:12" x14ac:dyDescent="0.3">
      <c r="F63" t="s">
        <v>89</v>
      </c>
      <c r="G63" t="s">
        <v>187</v>
      </c>
      <c r="H63" s="32">
        <v>86420</v>
      </c>
      <c r="I63" s="32">
        <v>52375.4</v>
      </c>
      <c r="J63" s="32">
        <v>52375.4</v>
      </c>
      <c r="K63" s="32">
        <v>52375.4</v>
      </c>
      <c r="L63" s="32">
        <v>86420</v>
      </c>
    </row>
    <row r="64" spans="6:12" x14ac:dyDescent="0.3">
      <c r="F64" t="s">
        <v>90</v>
      </c>
      <c r="G64" t="s">
        <v>188</v>
      </c>
      <c r="H64" s="32">
        <v>86420</v>
      </c>
      <c r="I64" s="32">
        <v>52375.4</v>
      </c>
      <c r="J64" s="32">
        <v>52375.4</v>
      </c>
      <c r="K64" s="32">
        <v>52375.4</v>
      </c>
      <c r="L64" s="32">
        <v>86420</v>
      </c>
    </row>
    <row r="65" spans="6:12" x14ac:dyDescent="0.3">
      <c r="F65" t="s">
        <v>91</v>
      </c>
      <c r="G65" t="s">
        <v>189</v>
      </c>
      <c r="H65" s="32">
        <v>93827</v>
      </c>
      <c r="I65" s="32">
        <v>55285.3</v>
      </c>
      <c r="J65" s="32">
        <v>55285.3</v>
      </c>
      <c r="K65" s="32">
        <v>55285.3</v>
      </c>
      <c r="L65" s="32">
        <v>93827</v>
      </c>
    </row>
    <row r="66" spans="6:12" x14ac:dyDescent="0.3">
      <c r="F66" t="s">
        <v>92</v>
      </c>
      <c r="G66" t="s">
        <v>190</v>
      </c>
      <c r="H66" s="32">
        <v>93827</v>
      </c>
      <c r="I66" s="32">
        <v>55285.3</v>
      </c>
      <c r="J66" s="32">
        <v>55285.3</v>
      </c>
      <c r="K66" s="32">
        <v>55285.3</v>
      </c>
      <c r="L66" s="32">
        <v>93827</v>
      </c>
    </row>
    <row r="67" spans="6:12" x14ac:dyDescent="0.3">
      <c r="F67" t="s">
        <v>93</v>
      </c>
      <c r="G67" t="s">
        <v>191</v>
      </c>
      <c r="H67" s="32">
        <v>129596</v>
      </c>
      <c r="I67" s="32">
        <v>78542.8</v>
      </c>
      <c r="J67" s="32">
        <v>78542.8</v>
      </c>
      <c r="K67" s="32">
        <v>78542.8</v>
      </c>
      <c r="L67" s="32">
        <v>129596</v>
      </c>
    </row>
    <row r="68" spans="6:12" x14ac:dyDescent="0.3">
      <c r="F68" t="s">
        <v>94</v>
      </c>
      <c r="G68" t="s">
        <v>192</v>
      </c>
      <c r="H68" s="32">
        <v>129596</v>
      </c>
      <c r="I68" s="32">
        <v>78542.8</v>
      </c>
      <c r="J68" s="32">
        <v>78542.8</v>
      </c>
      <c r="K68" s="32">
        <v>78542.8</v>
      </c>
      <c r="L68" s="32">
        <v>129596</v>
      </c>
    </row>
    <row r="69" spans="6:12" x14ac:dyDescent="0.3">
      <c r="F69" t="s">
        <v>95</v>
      </c>
      <c r="G69" t="s">
        <v>193</v>
      </c>
      <c r="H69" s="32">
        <v>188370</v>
      </c>
      <c r="I69" s="32">
        <v>109200</v>
      </c>
      <c r="J69" s="32">
        <v>109200</v>
      </c>
      <c r="K69" s="32">
        <v>109200</v>
      </c>
      <c r="L69" s="32">
        <v>188370</v>
      </c>
    </row>
    <row r="70" spans="6:12" x14ac:dyDescent="0.3">
      <c r="F70" t="s">
        <v>96</v>
      </c>
      <c r="G70" t="s">
        <v>194</v>
      </c>
      <c r="H70" s="32">
        <v>136873</v>
      </c>
      <c r="I70" s="32">
        <v>82952.800000000003</v>
      </c>
      <c r="J70" s="32">
        <v>82952.800000000003</v>
      </c>
      <c r="K70" s="32">
        <v>82952.800000000003</v>
      </c>
      <c r="L70" s="32">
        <v>136873</v>
      </c>
    </row>
    <row r="71" spans="6:12" x14ac:dyDescent="0.3">
      <c r="F71" t="s">
        <v>97</v>
      </c>
      <c r="G71" t="s">
        <v>195</v>
      </c>
      <c r="H71" s="32">
        <v>136873</v>
      </c>
      <c r="I71" s="32">
        <v>82952.800000000003</v>
      </c>
      <c r="J71" s="32">
        <v>82952.800000000003</v>
      </c>
      <c r="K71" s="32">
        <v>82952.800000000003</v>
      </c>
      <c r="L71" s="32">
        <v>136873</v>
      </c>
    </row>
    <row r="72" spans="6:12" x14ac:dyDescent="0.3">
      <c r="F72" t="s">
        <v>98</v>
      </c>
      <c r="G72" t="s">
        <v>196</v>
      </c>
      <c r="H72" s="32">
        <v>201204</v>
      </c>
      <c r="I72" s="32">
        <v>113400</v>
      </c>
      <c r="J72" s="32">
        <v>113400</v>
      </c>
      <c r="K72" s="32">
        <v>113400</v>
      </c>
      <c r="L72" s="32">
        <v>201204</v>
      </c>
    </row>
    <row r="73" spans="6:12" x14ac:dyDescent="0.3">
      <c r="F73" t="s">
        <v>99</v>
      </c>
      <c r="G73" t="s">
        <v>197</v>
      </c>
      <c r="H73" s="32">
        <v>173250</v>
      </c>
      <c r="I73" s="32">
        <v>105000</v>
      </c>
      <c r="J73" s="32">
        <v>105000</v>
      </c>
      <c r="K73" s="32">
        <v>105000</v>
      </c>
      <c r="L73" s="32">
        <v>173250</v>
      </c>
    </row>
    <row r="74" spans="6:12" x14ac:dyDescent="0.3">
      <c r="F74" t="s">
        <v>100</v>
      </c>
      <c r="G74" t="s">
        <v>198</v>
      </c>
      <c r="H74" s="32">
        <v>180180</v>
      </c>
      <c r="I74" s="32">
        <v>109200</v>
      </c>
      <c r="J74" s="32">
        <v>109200</v>
      </c>
      <c r="K74" s="32">
        <v>109200</v>
      </c>
      <c r="L74" s="32">
        <v>180180</v>
      </c>
    </row>
    <row r="75" spans="6:12" x14ac:dyDescent="0.3">
      <c r="F75" t="s">
        <v>101</v>
      </c>
      <c r="G75" t="s">
        <v>199</v>
      </c>
      <c r="H75" s="32">
        <v>44455</v>
      </c>
      <c r="I75" s="32">
        <v>28289.1</v>
      </c>
      <c r="J75" s="32">
        <v>28289.1</v>
      </c>
      <c r="K75" s="32">
        <v>28289.1</v>
      </c>
      <c r="L75" s="32">
        <v>44455</v>
      </c>
    </row>
    <row r="76" spans="6:12" x14ac:dyDescent="0.3">
      <c r="F76" t="s">
        <v>102</v>
      </c>
      <c r="G76" t="s">
        <v>200</v>
      </c>
      <c r="H76" s="32">
        <v>47630</v>
      </c>
      <c r="I76" s="32">
        <v>30310</v>
      </c>
      <c r="J76" s="32">
        <v>30310</v>
      </c>
      <c r="K76" s="32">
        <v>30310</v>
      </c>
      <c r="L76" s="32">
        <v>47630</v>
      </c>
    </row>
    <row r="77" spans="6:12" x14ac:dyDescent="0.3">
      <c r="F77" t="s">
        <v>103</v>
      </c>
      <c r="G77" t="s">
        <v>201</v>
      </c>
      <c r="H77" s="32">
        <v>284130</v>
      </c>
      <c r="I77" s="32">
        <v>172200</v>
      </c>
      <c r="J77" s="32">
        <v>172200</v>
      </c>
      <c r="K77" s="32">
        <v>172200</v>
      </c>
      <c r="L77" s="32">
        <v>284130</v>
      </c>
    </row>
    <row r="78" spans="6:12" x14ac:dyDescent="0.3">
      <c r="F78" t="s">
        <v>104</v>
      </c>
      <c r="G78" t="s">
        <v>202</v>
      </c>
      <c r="H78" s="32">
        <v>288288</v>
      </c>
      <c r="I78" s="32">
        <v>192192</v>
      </c>
      <c r="J78" s="32">
        <v>192192</v>
      </c>
      <c r="K78" s="32">
        <v>192192</v>
      </c>
      <c r="L78" s="32">
        <v>288288</v>
      </c>
    </row>
    <row r="79" spans="6:12" x14ac:dyDescent="0.3">
      <c r="F79" t="s">
        <v>105</v>
      </c>
      <c r="G79" t="s">
        <v>203</v>
      </c>
      <c r="H79" s="32">
        <v>291060</v>
      </c>
      <c r="I79" s="32">
        <v>176400</v>
      </c>
      <c r="J79" s="32">
        <v>176400</v>
      </c>
      <c r="K79" s="32">
        <v>176400</v>
      </c>
      <c r="L79" s="32">
        <v>291060</v>
      </c>
    </row>
    <row r="80" spans="6:12" x14ac:dyDescent="0.3">
      <c r="F80" t="s">
        <v>106</v>
      </c>
      <c r="G80" t="s">
        <v>204</v>
      </c>
      <c r="H80" s="32">
        <v>303264</v>
      </c>
      <c r="I80" s="32">
        <v>196560</v>
      </c>
      <c r="J80" s="32">
        <v>196560</v>
      </c>
      <c r="K80" s="32">
        <v>196560</v>
      </c>
      <c r="L80" s="32">
        <v>303264</v>
      </c>
    </row>
    <row r="81" spans="6:12" x14ac:dyDescent="0.3">
      <c r="F81" t="s">
        <v>107</v>
      </c>
      <c r="G81" t="s">
        <v>205</v>
      </c>
      <c r="H81" s="32">
        <v>303534</v>
      </c>
      <c r="I81" s="32">
        <v>193158</v>
      </c>
      <c r="J81" s="32">
        <v>193158</v>
      </c>
      <c r="K81" s="32">
        <v>193158</v>
      </c>
      <c r="L81" s="32">
        <v>303534</v>
      </c>
    </row>
    <row r="82" spans="6:12" x14ac:dyDescent="0.3">
      <c r="F82" t="s">
        <v>108</v>
      </c>
      <c r="G82" t="s">
        <v>206</v>
      </c>
      <c r="H82" s="32">
        <v>310464</v>
      </c>
      <c r="I82" s="32">
        <v>197568</v>
      </c>
      <c r="J82" s="32">
        <v>197568</v>
      </c>
      <c r="K82" s="32">
        <v>197568</v>
      </c>
      <c r="L82" s="32">
        <v>310464</v>
      </c>
    </row>
    <row r="83" spans="6:12" x14ac:dyDescent="0.3">
      <c r="F83" t="s">
        <v>109</v>
      </c>
      <c r="G83" t="s">
        <v>207</v>
      </c>
      <c r="H83" s="32">
        <v>470925</v>
      </c>
      <c r="I83" s="32">
        <v>273000</v>
      </c>
      <c r="J83" s="32">
        <v>273000</v>
      </c>
      <c r="K83" s="32">
        <v>273000</v>
      </c>
      <c r="L83" s="32">
        <v>470925</v>
      </c>
    </row>
    <row r="84" spans="6:12" x14ac:dyDescent="0.3">
      <c r="F84" t="s">
        <v>110</v>
      </c>
      <c r="G84" t="s">
        <v>208</v>
      </c>
      <c r="H84" s="32">
        <v>470925</v>
      </c>
      <c r="I84" s="32">
        <v>273000</v>
      </c>
      <c r="J84" s="32">
        <v>273000</v>
      </c>
      <c r="K84" s="32">
        <v>273000</v>
      </c>
      <c r="L84" s="32">
        <v>470925</v>
      </c>
    </row>
    <row r="85" spans="6:12" x14ac:dyDescent="0.3">
      <c r="F85" t="s">
        <v>111</v>
      </c>
      <c r="G85" t="s">
        <v>209</v>
      </c>
      <c r="H85" s="32">
        <v>478170</v>
      </c>
      <c r="I85" s="32">
        <v>277200</v>
      </c>
      <c r="J85" s="32">
        <v>277200</v>
      </c>
      <c r="K85" s="32">
        <v>277200</v>
      </c>
      <c r="L85" s="32">
        <v>478170</v>
      </c>
    </row>
    <row r="86" spans="6:12" x14ac:dyDescent="0.3">
      <c r="F86" t="s">
        <v>112</v>
      </c>
      <c r="G86" t="s">
        <v>210</v>
      </c>
      <c r="H86" s="32">
        <v>478170</v>
      </c>
      <c r="I86" s="32">
        <v>277200</v>
      </c>
      <c r="J86" s="32">
        <v>277200</v>
      </c>
      <c r="K86" s="32">
        <v>277200</v>
      </c>
      <c r="L86" s="32">
        <v>478170</v>
      </c>
    </row>
    <row r="87" spans="6:12" x14ac:dyDescent="0.3">
      <c r="F87" t="s">
        <v>113</v>
      </c>
      <c r="G87" t="s">
        <v>211</v>
      </c>
      <c r="H87" s="32">
        <v>321568</v>
      </c>
      <c r="I87" s="32">
        <v>182708.4</v>
      </c>
      <c r="J87" s="32">
        <v>182708.4</v>
      </c>
      <c r="K87" s="32">
        <v>182708.4</v>
      </c>
      <c r="L87" s="32">
        <v>321568</v>
      </c>
    </row>
    <row r="88" spans="6:12" x14ac:dyDescent="0.3">
      <c r="F88" t="s">
        <v>114</v>
      </c>
      <c r="G88" t="s">
        <v>212</v>
      </c>
      <c r="H88" s="32">
        <v>321568</v>
      </c>
      <c r="I88" s="32">
        <v>182708.4</v>
      </c>
      <c r="J88" s="32">
        <v>182708.4</v>
      </c>
      <c r="K88" s="32">
        <v>182708.4</v>
      </c>
      <c r="L88" s="32">
        <v>321568</v>
      </c>
    </row>
    <row r="89" spans="6:12" x14ac:dyDescent="0.3">
      <c r="F89" t="s">
        <v>115</v>
      </c>
      <c r="G89" t="s">
        <v>213</v>
      </c>
      <c r="H89" s="32">
        <v>332287</v>
      </c>
      <c r="I89" s="32">
        <v>188799.1</v>
      </c>
      <c r="J89" s="32">
        <v>188799.1</v>
      </c>
      <c r="K89" s="32">
        <v>188799.1</v>
      </c>
      <c r="L89" s="32">
        <v>332287</v>
      </c>
    </row>
    <row r="90" spans="6:12" x14ac:dyDescent="0.3">
      <c r="F90" t="s">
        <v>116</v>
      </c>
      <c r="G90" t="s">
        <v>214</v>
      </c>
      <c r="H90" s="32">
        <v>332287</v>
      </c>
      <c r="I90" s="32">
        <v>188799.1</v>
      </c>
      <c r="J90" s="32">
        <v>188799.1</v>
      </c>
      <c r="K90" s="32">
        <v>188799.1</v>
      </c>
      <c r="L90" s="32">
        <v>332287</v>
      </c>
    </row>
    <row r="91" spans="6:12" x14ac:dyDescent="0.3">
      <c r="F91" t="s">
        <v>117</v>
      </c>
      <c r="G91" t="s">
        <v>215</v>
      </c>
      <c r="H91" s="32">
        <v>417701</v>
      </c>
      <c r="I91" s="32">
        <v>246120</v>
      </c>
      <c r="J91" s="32">
        <v>246120</v>
      </c>
      <c r="K91" s="32">
        <v>246120</v>
      </c>
      <c r="L91" s="32">
        <v>417701</v>
      </c>
    </row>
    <row r="92" spans="6:12" x14ac:dyDescent="0.3">
      <c r="F92" t="s">
        <v>118</v>
      </c>
      <c r="G92" t="s">
        <v>216</v>
      </c>
      <c r="H92" s="32">
        <v>417701</v>
      </c>
      <c r="I92" s="32">
        <v>246120</v>
      </c>
      <c r="J92" s="32">
        <v>246120</v>
      </c>
      <c r="K92" s="32">
        <v>246120</v>
      </c>
      <c r="L92" s="32">
        <v>417701</v>
      </c>
    </row>
    <row r="93" spans="6:12" x14ac:dyDescent="0.3">
      <c r="F93" t="s">
        <v>119</v>
      </c>
      <c r="G93" t="s">
        <v>217</v>
      </c>
      <c r="H93" s="32">
        <v>424829</v>
      </c>
      <c r="I93" s="32">
        <v>250320</v>
      </c>
      <c r="J93" s="32">
        <v>250320</v>
      </c>
      <c r="K93" s="32">
        <v>250320</v>
      </c>
      <c r="L93" s="32">
        <v>424829</v>
      </c>
    </row>
    <row r="94" spans="6:12" x14ac:dyDescent="0.3">
      <c r="F94" t="s">
        <v>120</v>
      </c>
      <c r="G94" t="s">
        <v>218</v>
      </c>
      <c r="H94" s="32">
        <v>424829</v>
      </c>
      <c r="I94" s="32">
        <v>250320</v>
      </c>
      <c r="J94" s="32">
        <v>250320</v>
      </c>
      <c r="K94" s="32">
        <v>250320</v>
      </c>
      <c r="L94" s="32">
        <v>424829</v>
      </c>
    </row>
    <row r="95" spans="6:12" x14ac:dyDescent="0.3">
      <c r="F95" t="s">
        <v>121</v>
      </c>
      <c r="G95" t="s">
        <v>219</v>
      </c>
      <c r="H95" s="32">
        <v>451440</v>
      </c>
      <c r="I95" s="32">
        <v>287280</v>
      </c>
      <c r="J95" s="32">
        <v>287280</v>
      </c>
      <c r="K95" s="32">
        <v>287280</v>
      </c>
      <c r="L95" s="32">
        <v>451440</v>
      </c>
    </row>
    <row r="96" spans="6:12" x14ac:dyDescent="0.3">
      <c r="F96" t="s">
        <v>122</v>
      </c>
      <c r="G96" t="s">
        <v>220</v>
      </c>
      <c r="H96" s="32">
        <v>451440</v>
      </c>
      <c r="I96" s="32">
        <v>287280</v>
      </c>
      <c r="J96" s="32">
        <v>287280</v>
      </c>
      <c r="K96" s="32">
        <v>287280</v>
      </c>
      <c r="L96" s="32">
        <v>451440</v>
      </c>
    </row>
    <row r="97" spans="6:12" x14ac:dyDescent="0.3">
      <c r="F97" t="s">
        <v>123</v>
      </c>
      <c r="G97" t="s">
        <v>221</v>
      </c>
      <c r="H97" s="32">
        <v>458040</v>
      </c>
      <c r="I97" s="32">
        <v>291480</v>
      </c>
      <c r="J97" s="32">
        <v>291480</v>
      </c>
      <c r="K97" s="32">
        <v>291480</v>
      </c>
      <c r="L97" s="32">
        <v>458040</v>
      </c>
    </row>
    <row r="98" spans="6:12" x14ac:dyDescent="0.3">
      <c r="F98" t="s">
        <v>124</v>
      </c>
      <c r="G98" t="s">
        <v>222</v>
      </c>
      <c r="H98" s="32">
        <v>458040</v>
      </c>
      <c r="I98" s="32">
        <v>291480</v>
      </c>
      <c r="J98" s="32">
        <v>291480</v>
      </c>
      <c r="K98" s="32">
        <v>291480</v>
      </c>
      <c r="L98" s="32">
        <v>458040</v>
      </c>
    </row>
    <row r="99" spans="6:12" x14ac:dyDescent="0.3">
      <c r="F99" t="s">
        <v>125</v>
      </c>
      <c r="G99" t="s">
        <v>223</v>
      </c>
      <c r="H99" s="32">
        <v>458040</v>
      </c>
      <c r="I99" s="32">
        <v>291480</v>
      </c>
      <c r="J99" s="32">
        <v>291480</v>
      </c>
      <c r="K99" s="32">
        <v>291480</v>
      </c>
      <c r="L99" s="32">
        <v>458040</v>
      </c>
    </row>
    <row r="100" spans="6:12" x14ac:dyDescent="0.3">
      <c r="F100" t="s">
        <v>126</v>
      </c>
      <c r="G100" t="s">
        <v>224</v>
      </c>
      <c r="H100" s="32">
        <v>458040</v>
      </c>
      <c r="I100" s="32">
        <v>291480</v>
      </c>
      <c r="J100" s="32">
        <v>291480</v>
      </c>
      <c r="K100" s="32">
        <v>291480</v>
      </c>
      <c r="L100" s="32">
        <v>458040</v>
      </c>
    </row>
  </sheetData>
  <phoneticPr fontId="5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6AEA-0F57-4977-A813-A7E855B75BD6}">
  <dimension ref="B2:F2"/>
  <sheetViews>
    <sheetView workbookViewId="0">
      <selection activeCell="G6" sqref="G6"/>
    </sheetView>
  </sheetViews>
  <sheetFormatPr defaultRowHeight="14.4" x14ac:dyDescent="0.3"/>
  <cols>
    <col min="1" max="1" width="5.21875" customWidth="1"/>
    <col min="2" max="2" width="25.77734375" bestFit="1" customWidth="1"/>
    <col min="3" max="3" width="9" bestFit="1" customWidth="1"/>
    <col min="4" max="4" width="12.5546875" bestFit="1" customWidth="1"/>
    <col min="5" max="5" width="3.44140625" customWidth="1"/>
    <col min="6" max="6" width="5.21875" style="8" customWidth="1"/>
    <col min="7" max="7" width="27.44140625" customWidth="1"/>
    <col min="8" max="8" width="13.21875" customWidth="1"/>
    <col min="9" max="9" width="5.44140625" customWidth="1"/>
    <col min="10" max="10" width="26.77734375" bestFit="1" customWidth="1"/>
    <col min="11" max="11" width="12.5546875" bestFit="1" customWidth="1"/>
    <col min="13" max="13" width="26.77734375" bestFit="1" customWidth="1"/>
    <col min="14" max="14" width="12.5546875" bestFit="1" customWidth="1"/>
    <col min="16" max="16" width="12.88671875" bestFit="1" customWidth="1"/>
  </cols>
  <sheetData>
    <row r="2" spans="2:5" x14ac:dyDescent="0.3">
      <c r="B2" s="6" t="s">
        <v>23</v>
      </c>
      <c r="D2" s="20">
        <v>46296</v>
      </c>
      <c r="E2" s="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53658-87D8-4F73-93CE-205379E4743B}">
  <dimension ref="A2:O65"/>
  <sheetViews>
    <sheetView showGridLines="0" topLeftCell="A4" workbookViewId="0">
      <selection activeCell="K7" sqref="K7"/>
    </sheetView>
  </sheetViews>
  <sheetFormatPr defaultRowHeight="14.4" x14ac:dyDescent="0.3"/>
  <cols>
    <col min="1" max="1" width="5.21875" customWidth="1"/>
    <col min="2" max="2" width="25.77734375" bestFit="1" customWidth="1"/>
    <col min="3" max="3" width="14.109375" customWidth="1"/>
    <col min="4" max="4" width="12.5546875" bestFit="1" customWidth="1"/>
    <col min="5" max="5" width="5.21875" customWidth="1"/>
    <col min="6" max="6" width="5.21875" style="8" customWidth="1"/>
    <col min="7" max="7" width="26.77734375" bestFit="1" customWidth="1"/>
    <col min="8" max="8" width="12.5546875" bestFit="1" customWidth="1"/>
    <col min="10" max="10" width="26.77734375" bestFit="1" customWidth="1"/>
    <col min="11" max="11" width="12.5546875" bestFit="1" customWidth="1"/>
    <col min="13" max="13" width="27.44140625" customWidth="1"/>
    <col min="14" max="14" width="13.21875" customWidth="1"/>
    <col min="15" max="15" width="5.44140625" customWidth="1"/>
  </cols>
  <sheetData>
    <row r="2" spans="1:15" x14ac:dyDescent="0.3">
      <c r="B2" s="6" t="s">
        <v>225</v>
      </c>
      <c r="E2" s="7"/>
    </row>
    <row r="4" spans="1:15" ht="15" thickBot="1" x14ac:dyDescent="0.35">
      <c r="B4" s="2" t="s">
        <v>29</v>
      </c>
      <c r="C4" s="13" t="s">
        <v>43</v>
      </c>
      <c r="G4" s="14" t="s">
        <v>12</v>
      </c>
      <c r="H4" s="30">
        <v>12</v>
      </c>
      <c r="J4" s="15" t="s">
        <v>11</v>
      </c>
      <c r="K4" s="30">
        <v>24</v>
      </c>
      <c r="L4" s="8"/>
      <c r="M4" s="14" t="s">
        <v>10</v>
      </c>
      <c r="N4" s="30">
        <v>36</v>
      </c>
      <c r="O4" s="8"/>
    </row>
    <row r="5" spans="1:15" ht="15" thickTop="1" x14ac:dyDescent="0.3">
      <c r="E5" s="8">
        <f>MONTH(C7-C9)-1</f>
        <v>11</v>
      </c>
      <c r="I5" s="32"/>
    </row>
    <row r="6" spans="1:15" x14ac:dyDescent="0.3">
      <c r="C6" s="27" t="s">
        <v>3</v>
      </c>
      <c r="D6" s="5" t="s">
        <v>5</v>
      </c>
      <c r="G6" s="2" t="s">
        <v>13</v>
      </c>
      <c r="H6" s="12">
        <f>C12</f>
        <v>294.52499999999998</v>
      </c>
      <c r="J6" s="2" t="s">
        <v>13</v>
      </c>
      <c r="K6" s="12">
        <f>H6*2</f>
        <v>589.04999999999995</v>
      </c>
      <c r="M6" s="2" t="s">
        <v>13</v>
      </c>
      <c r="N6" s="12">
        <f>H6*3</f>
        <v>883.57499999999993</v>
      </c>
    </row>
    <row r="7" spans="1:15" x14ac:dyDescent="0.3">
      <c r="B7" s="2" t="s">
        <v>25</v>
      </c>
      <c r="C7" s="37">
        <v>46661</v>
      </c>
      <c r="G7" s="2" t="s">
        <v>1</v>
      </c>
      <c r="H7" s="4">
        <f>$D$15*$D$10*$D$11</f>
        <v>5092.2000000000007</v>
      </c>
      <c r="J7" s="2" t="s">
        <v>1</v>
      </c>
      <c r="K7" s="4">
        <f>$D$15*$D$10*$D$11</f>
        <v>5092.2000000000007</v>
      </c>
      <c r="M7" s="2" t="s">
        <v>1</v>
      </c>
      <c r="N7" s="4">
        <f>$D$15*$D$10*$D$11</f>
        <v>5092.2000000000007</v>
      </c>
    </row>
    <row r="8" spans="1:15" x14ac:dyDescent="0.3">
      <c r="B8" s="2" t="s">
        <v>24</v>
      </c>
      <c r="C8" s="37">
        <v>46997</v>
      </c>
      <c r="G8" s="2" t="s">
        <v>17</v>
      </c>
      <c r="H8" s="4">
        <f>H6*$D$10*$D$11</f>
        <v>1590.4349999999999</v>
      </c>
      <c r="J8" s="2" t="s">
        <v>17</v>
      </c>
      <c r="K8" s="4">
        <f>K6*$D$10*$D$11</f>
        <v>3180.87</v>
      </c>
      <c r="M8" s="2" t="s">
        <v>17</v>
      </c>
      <c r="N8" s="4">
        <f>N6*$D$10*$D$11</f>
        <v>4771.3050000000003</v>
      </c>
    </row>
    <row r="9" spans="1:15" x14ac:dyDescent="0.3">
      <c r="B9" s="28" t="s">
        <v>14</v>
      </c>
      <c r="C9" s="29">
        <v>46296</v>
      </c>
      <c r="G9" s="2" t="str">
        <f>"Custo Operacional "&amp;G4&amp;" (R$)"</f>
        <v>Custo Operacional 1 ANOS (R$)</v>
      </c>
      <c r="H9" s="4">
        <f>$C$19*$D$11*H$4</f>
        <v>1200</v>
      </c>
      <c r="J9" s="2" t="str">
        <f>"Custo Operacional "&amp;J4&amp;" (R$)"</f>
        <v>Custo Operacional 2 ANOS (R$)</v>
      </c>
      <c r="K9" s="4">
        <f>$C$19*$D$11*K$4</f>
        <v>2400</v>
      </c>
      <c r="M9" s="2" t="str">
        <f>"Custo Operacional "&amp;M4&amp;" (R$)"</f>
        <v>Custo Operacional 3 ANOS (R$)</v>
      </c>
      <c r="N9" s="4">
        <f>$C$19*$D$11*N$4</f>
        <v>3600</v>
      </c>
    </row>
    <row r="10" spans="1:15" x14ac:dyDescent="0.3">
      <c r="B10" s="2" t="s">
        <v>8</v>
      </c>
      <c r="C10" s="11"/>
      <c r="D10" s="3">
        <v>5.4</v>
      </c>
      <c r="E10" s="31"/>
      <c r="G10" s="17" t="s">
        <v>18</v>
      </c>
      <c r="H10" s="4">
        <f>(($D$15*$D$10*$D$11)+(H6*$D$10*$D$11)+($C$19*H4*$D$11))*(1+$D$22)</f>
        <v>10247.425500000001</v>
      </c>
      <c r="J10" s="17" t="s">
        <v>18</v>
      </c>
      <c r="K10" s="4">
        <f>(($D$15*$D$10*$D$11)+(K6*$D$10*$D$11)+($C$19*K4*$D$11))*(1+$D$22)</f>
        <v>13874.991</v>
      </c>
      <c r="M10" s="17" t="s">
        <v>18</v>
      </c>
      <c r="N10" s="22">
        <f>(($D$15*$D$10*$D$11)+(N6*$D$10*$D$11)+($C$19*N4*$D$11))*(1+$D$22)</f>
        <v>17502.556500000002</v>
      </c>
    </row>
    <row r="11" spans="1:15" x14ac:dyDescent="0.3">
      <c r="B11" s="17" t="s">
        <v>9</v>
      </c>
      <c r="C11" s="11"/>
      <c r="D11" s="34">
        <v>1</v>
      </c>
      <c r="G11" s="2" t="s">
        <v>15</v>
      </c>
      <c r="H11" s="4">
        <f>H10/H4</f>
        <v>853.95212500000014</v>
      </c>
      <c r="J11" s="2" t="s">
        <v>15</v>
      </c>
      <c r="K11" s="4">
        <f>K10/K4</f>
        <v>578.12462500000004</v>
      </c>
      <c r="M11" s="2" t="s">
        <v>15</v>
      </c>
      <c r="N11" s="4">
        <f>N10/N4</f>
        <v>486.18212500000004</v>
      </c>
    </row>
    <row r="12" spans="1:15" x14ac:dyDescent="0.3">
      <c r="B12" s="2" t="s">
        <v>26</v>
      </c>
      <c r="C12" s="33">
        <f>C14-(C14*D12)</f>
        <v>294.52499999999998</v>
      </c>
      <c r="D12" s="36">
        <v>0.45</v>
      </c>
      <c r="G12" t="s">
        <v>20</v>
      </c>
      <c r="H12" s="1">
        <f>H10-H13</f>
        <v>6619.8600000000006</v>
      </c>
      <c r="J12" t="s">
        <v>20</v>
      </c>
      <c r="K12" s="1">
        <f>K10-K13</f>
        <v>3309.9299999999967</v>
      </c>
      <c r="M12" t="s">
        <v>20</v>
      </c>
      <c r="N12" s="1">
        <f>N10-N13</f>
        <v>-3141.3833749999831</v>
      </c>
    </row>
    <row r="13" spans="1:15" x14ac:dyDescent="0.3">
      <c r="B13" s="2" t="s">
        <v>30</v>
      </c>
      <c r="C13" s="33">
        <f>C14-(C14*D13)</f>
        <v>428.4</v>
      </c>
      <c r="D13" s="36">
        <v>0.2</v>
      </c>
      <c r="H13" s="1">
        <f>SUM(H15:H63)</f>
        <v>3627.5655000000002</v>
      </c>
      <c r="K13" s="1">
        <f>SUM(K15:K63)</f>
        <v>10565.061000000003</v>
      </c>
      <c r="N13" s="1">
        <f>SUM(N15:N63)</f>
        <v>20643.939874999985</v>
      </c>
    </row>
    <row r="14" spans="1:15" x14ac:dyDescent="0.3">
      <c r="B14" s="11" t="s">
        <v>27</v>
      </c>
      <c r="C14" s="35">
        <f>IFERROR(VLOOKUP($C$4,Tabela1[#All],6,0),0)</f>
        <v>535.5</v>
      </c>
      <c r="G14" s="5" t="s">
        <v>3</v>
      </c>
      <c r="H14" s="9" t="s">
        <v>4</v>
      </c>
      <c r="J14" s="5" t="s">
        <v>3</v>
      </c>
      <c r="K14" s="9" t="s">
        <v>4</v>
      </c>
      <c r="M14" s="5" t="s">
        <v>3</v>
      </c>
      <c r="N14" s="9" t="s">
        <v>4</v>
      </c>
    </row>
    <row r="15" spans="1:15" x14ac:dyDescent="0.3">
      <c r="A15" s="7"/>
      <c r="B15" s="2" t="s">
        <v>7</v>
      </c>
      <c r="C15" s="11"/>
      <c r="D15" s="33">
        <f>VLOOKUP($C$4,Tabela1[],3,0)</f>
        <v>943</v>
      </c>
      <c r="E15" s="7"/>
      <c r="F15" s="8">
        <v>1</v>
      </c>
      <c r="G15" s="10">
        <f>$C$9</f>
        <v>46296</v>
      </c>
      <c r="H15" s="4">
        <f t="shared" ref="H15:H46" si="0">IF(G15&lt;$C$7,($C$19+((1-$D$23)*(H$6*$D$10/H$4)))*(1+$D$22)*$D$11,IF(G15="","",H$10/H$4))</f>
        <v>302.29712499999999</v>
      </c>
      <c r="J15" s="10">
        <f>$C$9</f>
        <v>46296</v>
      </c>
      <c r="K15" s="4">
        <f t="shared" ref="K15:K46" si="1">IF(J15&lt;$C$7,($C$19+((1-$D$23)*(K$6*$D$10/K$4)))*(1+$D$22)*$D$11,IF(J15="","",K$10/K$4))</f>
        <v>302.29712499999999</v>
      </c>
      <c r="M15" s="10">
        <f>$C$9</f>
        <v>46296</v>
      </c>
      <c r="N15" s="4">
        <f t="shared" ref="N15:N46" si="2">IF(M15&lt;$C$7,($C$19+((1-$D$23)*(N$6*$D$10/N$4)))*(1+$D$22)*$D$11,IF(M15="","",N$10/N$4))</f>
        <v>302.29712499999999</v>
      </c>
    </row>
    <row r="16" spans="1:15" ht="14.4" customHeight="1" x14ac:dyDescent="0.3">
      <c r="E16" s="7"/>
      <c r="F16" s="8">
        <v>2</v>
      </c>
      <c r="G16" s="10">
        <f>IF(H$4&gt;=$F16,EDATE(G15,1),"")</f>
        <v>46327</v>
      </c>
      <c r="H16" s="4">
        <f t="shared" si="0"/>
        <v>302.29712499999999</v>
      </c>
      <c r="J16" s="10">
        <f>IF(K$4&gt;=$F16,EDATE(J15,1),"")</f>
        <v>46327</v>
      </c>
      <c r="K16" s="4">
        <f t="shared" si="1"/>
        <v>302.29712499999999</v>
      </c>
      <c r="M16" s="10">
        <f t="shared" ref="M16:M63" si="3">IF((N$4+$E$5)&gt;=$F16,EDATE(M15,1),"")</f>
        <v>46327</v>
      </c>
      <c r="N16" s="4">
        <f t="shared" si="2"/>
        <v>302.29712499999999</v>
      </c>
    </row>
    <row r="17" spans="1:14" x14ac:dyDescent="0.3">
      <c r="E17" s="7"/>
      <c r="F17" s="8">
        <v>3</v>
      </c>
      <c r="G17" s="10">
        <f t="shared" ref="G17:G63" si="4">IF(H$4&gt;=$F17,EDATE(G16,1),"")</f>
        <v>46357</v>
      </c>
      <c r="H17" s="4">
        <f t="shared" si="0"/>
        <v>302.29712499999999</v>
      </c>
      <c r="J17" s="10">
        <f t="shared" ref="J17:J63" si="5">IF(K$4&gt;=$F17,EDATE(J16,1),"")</f>
        <v>46357</v>
      </c>
      <c r="K17" s="4">
        <f t="shared" si="1"/>
        <v>302.29712499999999</v>
      </c>
      <c r="M17" s="10">
        <f t="shared" si="3"/>
        <v>46357</v>
      </c>
      <c r="N17" s="4">
        <f t="shared" si="2"/>
        <v>302.29712499999999</v>
      </c>
    </row>
    <row r="18" spans="1:14" x14ac:dyDescent="0.3">
      <c r="A18" s="7"/>
      <c r="B18" s="2" t="s">
        <v>2</v>
      </c>
      <c r="C18" s="11"/>
      <c r="D18" s="4">
        <f>D15*$D$10*D11</f>
        <v>5092.2000000000007</v>
      </c>
      <c r="E18" s="7"/>
      <c r="F18" s="8">
        <v>4</v>
      </c>
      <c r="G18" s="10">
        <f t="shared" si="4"/>
        <v>46388</v>
      </c>
      <c r="H18" s="4">
        <f t="shared" si="0"/>
        <v>302.29712499999999</v>
      </c>
      <c r="J18" s="10">
        <f t="shared" si="5"/>
        <v>46388</v>
      </c>
      <c r="K18" s="4">
        <f t="shared" si="1"/>
        <v>302.29712499999999</v>
      </c>
      <c r="M18" s="10">
        <f t="shared" si="3"/>
        <v>46388</v>
      </c>
      <c r="N18" s="4">
        <f t="shared" si="2"/>
        <v>302.29712499999999</v>
      </c>
    </row>
    <row r="19" spans="1:14" x14ac:dyDescent="0.3">
      <c r="A19" s="7"/>
      <c r="B19" s="2" t="s">
        <v>19</v>
      </c>
      <c r="C19" s="3">
        <v>100</v>
      </c>
      <c r="D19" s="7"/>
      <c r="E19" s="7"/>
      <c r="F19" s="8">
        <v>5</v>
      </c>
      <c r="G19" s="10">
        <f t="shared" si="4"/>
        <v>46419</v>
      </c>
      <c r="H19" s="4">
        <f t="shared" si="0"/>
        <v>302.29712499999999</v>
      </c>
      <c r="J19" s="10">
        <f t="shared" si="5"/>
        <v>46419</v>
      </c>
      <c r="K19" s="4">
        <f t="shared" si="1"/>
        <v>302.29712499999999</v>
      </c>
      <c r="M19" s="10">
        <f t="shared" si="3"/>
        <v>46419</v>
      </c>
      <c r="N19" s="4">
        <f t="shared" si="2"/>
        <v>302.29712499999999</v>
      </c>
    </row>
    <row r="20" spans="1:14" x14ac:dyDescent="0.3">
      <c r="A20" s="7"/>
      <c r="E20" s="7"/>
      <c r="F20" s="8">
        <v>6</v>
      </c>
      <c r="G20" s="10">
        <f t="shared" si="4"/>
        <v>46447</v>
      </c>
      <c r="H20" s="4">
        <f t="shared" si="0"/>
        <v>302.29712499999999</v>
      </c>
      <c r="J20" s="10">
        <f t="shared" si="5"/>
        <v>46447</v>
      </c>
      <c r="K20" s="4">
        <f t="shared" si="1"/>
        <v>302.29712499999999</v>
      </c>
      <c r="M20" s="10">
        <f t="shared" si="3"/>
        <v>46447</v>
      </c>
      <c r="N20" s="4">
        <f t="shared" si="2"/>
        <v>302.29712499999999</v>
      </c>
    </row>
    <row r="21" spans="1:14" ht="14.4" customHeight="1" x14ac:dyDescent="0.3">
      <c r="A21" s="7"/>
      <c r="E21" s="7"/>
      <c r="F21" s="8">
        <v>7</v>
      </c>
      <c r="G21" s="10">
        <f t="shared" si="4"/>
        <v>46478</v>
      </c>
      <c r="H21" s="4">
        <f t="shared" si="0"/>
        <v>302.29712499999999</v>
      </c>
      <c r="J21" s="10">
        <f t="shared" si="5"/>
        <v>46478</v>
      </c>
      <c r="K21" s="4">
        <f t="shared" si="1"/>
        <v>302.29712499999999</v>
      </c>
      <c r="M21" s="10">
        <f t="shared" si="3"/>
        <v>46478</v>
      </c>
      <c r="N21" s="4">
        <f t="shared" si="2"/>
        <v>302.29712499999999</v>
      </c>
    </row>
    <row r="22" spans="1:14" x14ac:dyDescent="0.3">
      <c r="A22" s="7"/>
      <c r="B22" s="27" t="s">
        <v>0</v>
      </c>
      <c r="C22" s="7"/>
      <c r="D22" s="18">
        <v>0.3</v>
      </c>
      <c r="E22" s="7"/>
      <c r="F22" s="8">
        <v>8</v>
      </c>
      <c r="G22" s="10">
        <f t="shared" si="4"/>
        <v>46508</v>
      </c>
      <c r="H22" s="4">
        <f t="shared" si="0"/>
        <v>302.29712499999999</v>
      </c>
      <c r="J22" s="10">
        <f t="shared" si="5"/>
        <v>46508</v>
      </c>
      <c r="K22" s="4">
        <f t="shared" si="1"/>
        <v>302.29712499999999</v>
      </c>
      <c r="M22" s="10">
        <f t="shared" si="3"/>
        <v>46508</v>
      </c>
      <c r="N22" s="4">
        <f t="shared" si="2"/>
        <v>302.29712499999999</v>
      </c>
    </row>
    <row r="23" spans="1:14" x14ac:dyDescent="0.3">
      <c r="A23" s="7"/>
      <c r="B23" s="51" t="s">
        <v>16</v>
      </c>
      <c r="C23" s="7"/>
      <c r="D23" s="53">
        <v>0</v>
      </c>
      <c r="E23" s="7"/>
      <c r="F23" s="8">
        <v>9</v>
      </c>
      <c r="G23" s="10">
        <f t="shared" si="4"/>
        <v>46539</v>
      </c>
      <c r="H23" s="4">
        <f t="shared" si="0"/>
        <v>302.29712499999999</v>
      </c>
      <c r="J23" s="10">
        <f t="shared" si="5"/>
        <v>46539</v>
      </c>
      <c r="K23" s="4">
        <f t="shared" si="1"/>
        <v>302.29712499999999</v>
      </c>
      <c r="M23" s="10">
        <f t="shared" si="3"/>
        <v>46539</v>
      </c>
      <c r="N23" s="4">
        <f t="shared" si="2"/>
        <v>302.29712499999999</v>
      </c>
    </row>
    <row r="24" spans="1:14" x14ac:dyDescent="0.3">
      <c r="A24" s="7"/>
      <c r="B24" s="52"/>
      <c r="C24" s="7"/>
      <c r="D24" s="54"/>
      <c r="E24" s="7"/>
      <c r="F24" s="8">
        <v>10</v>
      </c>
      <c r="G24" s="10">
        <f t="shared" si="4"/>
        <v>46569</v>
      </c>
      <c r="H24" s="4">
        <f t="shared" si="0"/>
        <v>302.29712499999999</v>
      </c>
      <c r="J24" s="10">
        <f t="shared" si="5"/>
        <v>46569</v>
      </c>
      <c r="K24" s="4">
        <f t="shared" si="1"/>
        <v>302.29712499999999</v>
      </c>
      <c r="M24" s="10">
        <f t="shared" si="3"/>
        <v>46569</v>
      </c>
      <c r="N24" s="4">
        <f t="shared" si="2"/>
        <v>302.29712499999999</v>
      </c>
    </row>
    <row r="25" spans="1:14" x14ac:dyDescent="0.3">
      <c r="A25" s="7"/>
      <c r="B25" s="7"/>
      <c r="C25" s="7"/>
      <c r="D25" s="7"/>
      <c r="E25" s="7"/>
      <c r="F25" s="8">
        <v>11</v>
      </c>
      <c r="G25" s="10">
        <f t="shared" si="4"/>
        <v>46600</v>
      </c>
      <c r="H25" s="4">
        <f t="shared" si="0"/>
        <v>302.29712499999999</v>
      </c>
      <c r="J25" s="10">
        <f t="shared" si="5"/>
        <v>46600</v>
      </c>
      <c r="K25" s="4">
        <f t="shared" si="1"/>
        <v>302.29712499999999</v>
      </c>
      <c r="M25" s="10">
        <f t="shared" si="3"/>
        <v>46600</v>
      </c>
      <c r="N25" s="4">
        <f t="shared" si="2"/>
        <v>302.29712499999999</v>
      </c>
    </row>
    <row r="26" spans="1:14" x14ac:dyDescent="0.3">
      <c r="E26" s="7"/>
      <c r="F26" s="8">
        <v>12</v>
      </c>
      <c r="G26" s="10">
        <f t="shared" si="4"/>
        <v>46631</v>
      </c>
      <c r="H26" s="4">
        <f t="shared" si="0"/>
        <v>302.29712499999999</v>
      </c>
      <c r="J26" s="10">
        <f t="shared" si="5"/>
        <v>46631</v>
      </c>
      <c r="K26" s="4">
        <f t="shared" si="1"/>
        <v>302.29712499999999</v>
      </c>
      <c r="M26" s="10">
        <f t="shared" si="3"/>
        <v>46631</v>
      </c>
      <c r="N26" s="4">
        <f t="shared" si="2"/>
        <v>302.29712499999999</v>
      </c>
    </row>
    <row r="27" spans="1:14" x14ac:dyDescent="0.3">
      <c r="E27" s="7"/>
      <c r="F27" s="8">
        <v>13</v>
      </c>
      <c r="G27" s="10" t="str">
        <f t="shared" si="4"/>
        <v/>
      </c>
      <c r="H27" s="4" t="str">
        <f t="shared" si="0"/>
        <v/>
      </c>
      <c r="J27" s="10">
        <f t="shared" si="5"/>
        <v>46661</v>
      </c>
      <c r="K27" s="4">
        <f t="shared" si="1"/>
        <v>578.12462500000004</v>
      </c>
      <c r="M27" s="10">
        <f t="shared" si="3"/>
        <v>46661</v>
      </c>
      <c r="N27" s="4">
        <f t="shared" si="2"/>
        <v>486.18212500000004</v>
      </c>
    </row>
    <row r="28" spans="1:14" x14ac:dyDescent="0.3">
      <c r="E28" s="7"/>
      <c r="F28" s="8">
        <v>14</v>
      </c>
      <c r="G28" s="10" t="str">
        <f t="shared" si="4"/>
        <v/>
      </c>
      <c r="H28" s="4" t="str">
        <f t="shared" si="0"/>
        <v/>
      </c>
      <c r="J28" s="10">
        <f t="shared" si="5"/>
        <v>46692</v>
      </c>
      <c r="K28" s="4">
        <f t="shared" si="1"/>
        <v>578.12462500000004</v>
      </c>
      <c r="M28" s="10">
        <f t="shared" si="3"/>
        <v>46692</v>
      </c>
      <c r="N28" s="4">
        <f t="shared" si="2"/>
        <v>486.18212500000004</v>
      </c>
    </row>
    <row r="29" spans="1:14" x14ac:dyDescent="0.3">
      <c r="E29" s="7"/>
      <c r="F29" s="8">
        <v>15</v>
      </c>
      <c r="G29" s="10" t="str">
        <f t="shared" si="4"/>
        <v/>
      </c>
      <c r="H29" s="4" t="str">
        <f t="shared" si="0"/>
        <v/>
      </c>
      <c r="J29" s="10">
        <f t="shared" si="5"/>
        <v>46722</v>
      </c>
      <c r="K29" s="4">
        <f t="shared" si="1"/>
        <v>578.12462500000004</v>
      </c>
      <c r="M29" s="10">
        <f t="shared" si="3"/>
        <v>46722</v>
      </c>
      <c r="N29" s="4">
        <f t="shared" si="2"/>
        <v>486.18212500000004</v>
      </c>
    </row>
    <row r="30" spans="1:14" x14ac:dyDescent="0.3">
      <c r="E30" s="7"/>
      <c r="F30" s="8">
        <v>16</v>
      </c>
      <c r="G30" s="10" t="str">
        <f t="shared" si="4"/>
        <v/>
      </c>
      <c r="H30" s="4" t="str">
        <f t="shared" si="0"/>
        <v/>
      </c>
      <c r="J30" s="10">
        <f t="shared" si="5"/>
        <v>46753</v>
      </c>
      <c r="K30" s="4">
        <f t="shared" si="1"/>
        <v>578.12462500000004</v>
      </c>
      <c r="M30" s="10">
        <f t="shared" si="3"/>
        <v>46753</v>
      </c>
      <c r="N30" s="4">
        <f t="shared" si="2"/>
        <v>486.18212500000004</v>
      </c>
    </row>
    <row r="31" spans="1:14" x14ac:dyDescent="0.3">
      <c r="E31" s="7"/>
      <c r="F31" s="8">
        <v>17</v>
      </c>
      <c r="G31" s="10" t="str">
        <f t="shared" si="4"/>
        <v/>
      </c>
      <c r="H31" s="4" t="str">
        <f t="shared" si="0"/>
        <v/>
      </c>
      <c r="J31" s="10">
        <f t="shared" si="5"/>
        <v>46784</v>
      </c>
      <c r="K31" s="4">
        <f t="shared" si="1"/>
        <v>578.12462500000004</v>
      </c>
      <c r="M31" s="10">
        <f t="shared" si="3"/>
        <v>46784</v>
      </c>
      <c r="N31" s="4">
        <f t="shared" si="2"/>
        <v>486.18212500000004</v>
      </c>
    </row>
    <row r="32" spans="1:14" x14ac:dyDescent="0.3">
      <c r="E32" s="7"/>
      <c r="F32" s="8">
        <v>18</v>
      </c>
      <c r="G32" s="10" t="str">
        <f t="shared" si="4"/>
        <v/>
      </c>
      <c r="H32" s="4" t="str">
        <f t="shared" si="0"/>
        <v/>
      </c>
      <c r="J32" s="10">
        <f t="shared" si="5"/>
        <v>46813</v>
      </c>
      <c r="K32" s="4">
        <f t="shared" si="1"/>
        <v>578.12462500000004</v>
      </c>
      <c r="M32" s="10">
        <f t="shared" si="3"/>
        <v>46813</v>
      </c>
      <c r="N32" s="4">
        <f t="shared" si="2"/>
        <v>486.18212500000004</v>
      </c>
    </row>
    <row r="33" spans="5:14" x14ac:dyDescent="0.3">
      <c r="E33" s="7"/>
      <c r="F33" s="8">
        <v>19</v>
      </c>
      <c r="G33" s="10" t="str">
        <f t="shared" si="4"/>
        <v/>
      </c>
      <c r="H33" s="4" t="str">
        <f t="shared" si="0"/>
        <v/>
      </c>
      <c r="J33" s="10">
        <f t="shared" si="5"/>
        <v>46844</v>
      </c>
      <c r="K33" s="4">
        <f t="shared" si="1"/>
        <v>578.12462500000004</v>
      </c>
      <c r="M33" s="10">
        <f t="shared" si="3"/>
        <v>46844</v>
      </c>
      <c r="N33" s="4">
        <f t="shared" si="2"/>
        <v>486.18212500000004</v>
      </c>
    </row>
    <row r="34" spans="5:14" x14ac:dyDescent="0.3">
      <c r="E34" s="7"/>
      <c r="F34" s="8">
        <v>20</v>
      </c>
      <c r="G34" s="10" t="str">
        <f t="shared" si="4"/>
        <v/>
      </c>
      <c r="H34" s="4" t="str">
        <f t="shared" si="0"/>
        <v/>
      </c>
      <c r="J34" s="10">
        <f t="shared" si="5"/>
        <v>46874</v>
      </c>
      <c r="K34" s="4">
        <f t="shared" si="1"/>
        <v>578.12462500000004</v>
      </c>
      <c r="M34" s="10">
        <f t="shared" si="3"/>
        <v>46874</v>
      </c>
      <c r="N34" s="4">
        <f t="shared" si="2"/>
        <v>486.18212500000004</v>
      </c>
    </row>
    <row r="35" spans="5:14" x14ac:dyDescent="0.3">
      <c r="E35" s="7"/>
      <c r="F35" s="8">
        <v>21</v>
      </c>
      <c r="G35" s="10" t="str">
        <f t="shared" si="4"/>
        <v/>
      </c>
      <c r="H35" s="4" t="str">
        <f t="shared" si="0"/>
        <v/>
      </c>
      <c r="J35" s="10">
        <f t="shared" si="5"/>
        <v>46905</v>
      </c>
      <c r="K35" s="4">
        <f t="shared" si="1"/>
        <v>578.12462500000004</v>
      </c>
      <c r="M35" s="10">
        <f t="shared" si="3"/>
        <v>46905</v>
      </c>
      <c r="N35" s="4">
        <f t="shared" si="2"/>
        <v>486.18212500000004</v>
      </c>
    </row>
    <row r="36" spans="5:14" x14ac:dyDescent="0.3">
      <c r="E36" s="7"/>
      <c r="F36" s="8">
        <v>22</v>
      </c>
      <c r="G36" s="10" t="str">
        <f t="shared" si="4"/>
        <v/>
      </c>
      <c r="H36" s="4" t="str">
        <f t="shared" si="0"/>
        <v/>
      </c>
      <c r="J36" s="10">
        <f t="shared" si="5"/>
        <v>46935</v>
      </c>
      <c r="K36" s="4">
        <f t="shared" si="1"/>
        <v>578.12462500000004</v>
      </c>
      <c r="M36" s="10">
        <f t="shared" si="3"/>
        <v>46935</v>
      </c>
      <c r="N36" s="4">
        <f t="shared" si="2"/>
        <v>486.18212500000004</v>
      </c>
    </row>
    <row r="37" spans="5:14" x14ac:dyDescent="0.3">
      <c r="E37" s="7"/>
      <c r="F37" s="8">
        <v>23</v>
      </c>
      <c r="G37" s="10" t="str">
        <f t="shared" si="4"/>
        <v/>
      </c>
      <c r="H37" s="4" t="str">
        <f t="shared" si="0"/>
        <v/>
      </c>
      <c r="J37" s="10">
        <f t="shared" si="5"/>
        <v>46966</v>
      </c>
      <c r="K37" s="4">
        <f t="shared" si="1"/>
        <v>578.12462500000004</v>
      </c>
      <c r="M37" s="10">
        <f t="shared" si="3"/>
        <v>46966</v>
      </c>
      <c r="N37" s="4">
        <f t="shared" si="2"/>
        <v>486.18212500000004</v>
      </c>
    </row>
    <row r="38" spans="5:14" x14ac:dyDescent="0.3">
      <c r="E38" s="7"/>
      <c r="F38" s="8">
        <v>24</v>
      </c>
      <c r="G38" s="10" t="str">
        <f t="shared" si="4"/>
        <v/>
      </c>
      <c r="H38" s="4" t="str">
        <f t="shared" si="0"/>
        <v/>
      </c>
      <c r="J38" s="10">
        <f t="shared" si="5"/>
        <v>46997</v>
      </c>
      <c r="K38" s="4">
        <f t="shared" si="1"/>
        <v>578.12462500000004</v>
      </c>
      <c r="M38" s="10">
        <f t="shared" si="3"/>
        <v>46997</v>
      </c>
      <c r="N38" s="4">
        <f t="shared" si="2"/>
        <v>486.18212500000004</v>
      </c>
    </row>
    <row r="39" spans="5:14" x14ac:dyDescent="0.3">
      <c r="E39" s="7"/>
      <c r="F39" s="8">
        <v>25</v>
      </c>
      <c r="G39" s="10" t="str">
        <f t="shared" si="4"/>
        <v/>
      </c>
      <c r="H39" s="4" t="str">
        <f t="shared" si="0"/>
        <v/>
      </c>
      <c r="J39" s="10" t="str">
        <f t="shared" si="5"/>
        <v/>
      </c>
      <c r="K39" s="4" t="str">
        <f t="shared" si="1"/>
        <v/>
      </c>
      <c r="M39" s="10">
        <f t="shared" si="3"/>
        <v>47027</v>
      </c>
      <c r="N39" s="4">
        <f t="shared" si="2"/>
        <v>486.18212500000004</v>
      </c>
    </row>
    <row r="40" spans="5:14" x14ac:dyDescent="0.3">
      <c r="E40" s="7"/>
      <c r="F40" s="8">
        <v>26</v>
      </c>
      <c r="G40" s="10" t="str">
        <f t="shared" si="4"/>
        <v/>
      </c>
      <c r="H40" s="4" t="str">
        <f t="shared" si="0"/>
        <v/>
      </c>
      <c r="J40" s="10" t="str">
        <f t="shared" si="5"/>
        <v/>
      </c>
      <c r="K40" s="4" t="str">
        <f t="shared" si="1"/>
        <v/>
      </c>
      <c r="M40" s="10">
        <f t="shared" si="3"/>
        <v>47058</v>
      </c>
      <c r="N40" s="4">
        <f t="shared" si="2"/>
        <v>486.18212500000004</v>
      </c>
    </row>
    <row r="41" spans="5:14" x14ac:dyDescent="0.3">
      <c r="E41" s="7"/>
      <c r="F41" s="8">
        <v>27</v>
      </c>
      <c r="G41" s="10" t="str">
        <f t="shared" si="4"/>
        <v/>
      </c>
      <c r="H41" s="4" t="str">
        <f t="shared" si="0"/>
        <v/>
      </c>
      <c r="J41" s="10" t="str">
        <f t="shared" si="5"/>
        <v/>
      </c>
      <c r="K41" s="4" t="str">
        <f t="shared" si="1"/>
        <v/>
      </c>
      <c r="M41" s="10">
        <f t="shared" si="3"/>
        <v>47088</v>
      </c>
      <c r="N41" s="4">
        <f t="shared" si="2"/>
        <v>486.18212500000004</v>
      </c>
    </row>
    <row r="42" spans="5:14" x14ac:dyDescent="0.3">
      <c r="E42" s="7"/>
      <c r="F42" s="8">
        <v>28</v>
      </c>
      <c r="G42" s="10" t="str">
        <f t="shared" si="4"/>
        <v/>
      </c>
      <c r="H42" s="4" t="str">
        <f t="shared" si="0"/>
        <v/>
      </c>
      <c r="J42" s="10" t="str">
        <f t="shared" si="5"/>
        <v/>
      </c>
      <c r="K42" s="4" t="str">
        <f t="shared" si="1"/>
        <v/>
      </c>
      <c r="M42" s="10">
        <f t="shared" si="3"/>
        <v>47119</v>
      </c>
      <c r="N42" s="4">
        <f t="shared" si="2"/>
        <v>486.18212500000004</v>
      </c>
    </row>
    <row r="43" spans="5:14" x14ac:dyDescent="0.3">
      <c r="E43" s="7"/>
      <c r="F43" s="8">
        <v>29</v>
      </c>
      <c r="G43" s="10" t="str">
        <f t="shared" si="4"/>
        <v/>
      </c>
      <c r="H43" s="4" t="str">
        <f t="shared" si="0"/>
        <v/>
      </c>
      <c r="J43" s="10" t="str">
        <f t="shared" si="5"/>
        <v/>
      </c>
      <c r="K43" s="4" t="str">
        <f t="shared" si="1"/>
        <v/>
      </c>
      <c r="M43" s="10">
        <f t="shared" si="3"/>
        <v>47150</v>
      </c>
      <c r="N43" s="4">
        <f t="shared" si="2"/>
        <v>486.18212500000004</v>
      </c>
    </row>
    <row r="44" spans="5:14" x14ac:dyDescent="0.3">
      <c r="E44" s="7"/>
      <c r="F44" s="8">
        <v>30</v>
      </c>
      <c r="G44" s="10" t="str">
        <f t="shared" si="4"/>
        <v/>
      </c>
      <c r="H44" s="4" t="str">
        <f t="shared" si="0"/>
        <v/>
      </c>
      <c r="J44" s="10" t="str">
        <f t="shared" si="5"/>
        <v/>
      </c>
      <c r="K44" s="4" t="str">
        <f t="shared" si="1"/>
        <v/>
      </c>
      <c r="M44" s="10">
        <f t="shared" si="3"/>
        <v>47178</v>
      </c>
      <c r="N44" s="4">
        <f t="shared" si="2"/>
        <v>486.18212500000004</v>
      </c>
    </row>
    <row r="45" spans="5:14" x14ac:dyDescent="0.3">
      <c r="E45" s="7"/>
      <c r="F45" s="8">
        <v>31</v>
      </c>
      <c r="G45" s="10" t="str">
        <f t="shared" si="4"/>
        <v/>
      </c>
      <c r="H45" s="4" t="str">
        <f t="shared" si="0"/>
        <v/>
      </c>
      <c r="J45" s="10" t="str">
        <f t="shared" si="5"/>
        <v/>
      </c>
      <c r="K45" s="4" t="str">
        <f t="shared" si="1"/>
        <v/>
      </c>
      <c r="M45" s="10">
        <f t="shared" si="3"/>
        <v>47209</v>
      </c>
      <c r="N45" s="4">
        <f t="shared" si="2"/>
        <v>486.18212500000004</v>
      </c>
    </row>
    <row r="46" spans="5:14" x14ac:dyDescent="0.3">
      <c r="E46" s="7"/>
      <c r="F46" s="8">
        <v>32</v>
      </c>
      <c r="G46" s="10" t="str">
        <f t="shared" si="4"/>
        <v/>
      </c>
      <c r="H46" s="4" t="str">
        <f t="shared" si="0"/>
        <v/>
      </c>
      <c r="J46" s="10" t="str">
        <f t="shared" si="5"/>
        <v/>
      </c>
      <c r="K46" s="4" t="str">
        <f t="shared" si="1"/>
        <v/>
      </c>
      <c r="M46" s="10">
        <f t="shared" si="3"/>
        <v>47239</v>
      </c>
      <c r="N46" s="4">
        <f t="shared" si="2"/>
        <v>486.18212500000004</v>
      </c>
    </row>
    <row r="47" spans="5:14" x14ac:dyDescent="0.3">
      <c r="E47" s="7"/>
      <c r="F47" s="8">
        <v>33</v>
      </c>
      <c r="G47" s="10" t="str">
        <f t="shared" si="4"/>
        <v/>
      </c>
      <c r="H47" s="4" t="str">
        <f t="shared" ref="H47:H63" si="6">IF(G47&lt;$C$7,($C$19+((1-$D$23)*(H$6*$D$10/H$4)))*(1+$D$22)*$D$11,IF(G47="","",H$10/H$4))</f>
        <v/>
      </c>
      <c r="J47" s="10" t="str">
        <f t="shared" si="5"/>
        <v/>
      </c>
      <c r="K47" s="4" t="str">
        <f t="shared" ref="K47:K63" si="7">IF(J47&lt;$C$7,($C$19+((1-$D$23)*(K$6*$D$10/K$4)))*(1+$D$22)*$D$11,IF(J47="","",K$10/K$4))</f>
        <v/>
      </c>
      <c r="M47" s="10">
        <f t="shared" si="3"/>
        <v>47270</v>
      </c>
      <c r="N47" s="4">
        <f t="shared" ref="N47:N63" si="8">IF(M47&lt;$C$7,($C$19+((1-$D$23)*(N$6*$D$10/N$4)))*(1+$D$22)*$D$11,IF(M47="","",N$10/N$4))</f>
        <v>486.18212500000004</v>
      </c>
    </row>
    <row r="48" spans="5:14" x14ac:dyDescent="0.3">
      <c r="E48" s="7"/>
      <c r="F48" s="8">
        <v>34</v>
      </c>
      <c r="G48" s="10" t="str">
        <f t="shared" si="4"/>
        <v/>
      </c>
      <c r="H48" s="4" t="str">
        <f t="shared" si="6"/>
        <v/>
      </c>
      <c r="J48" s="10" t="str">
        <f t="shared" si="5"/>
        <v/>
      </c>
      <c r="K48" s="4" t="str">
        <f t="shared" si="7"/>
        <v/>
      </c>
      <c r="M48" s="10">
        <f t="shared" si="3"/>
        <v>47300</v>
      </c>
      <c r="N48" s="4">
        <f t="shared" si="8"/>
        <v>486.18212500000004</v>
      </c>
    </row>
    <row r="49" spans="5:14" x14ac:dyDescent="0.3">
      <c r="E49" s="7"/>
      <c r="F49" s="8">
        <v>35</v>
      </c>
      <c r="G49" s="10" t="str">
        <f t="shared" si="4"/>
        <v/>
      </c>
      <c r="H49" s="4" t="str">
        <f t="shared" si="6"/>
        <v/>
      </c>
      <c r="J49" s="10" t="str">
        <f t="shared" si="5"/>
        <v/>
      </c>
      <c r="K49" s="4" t="str">
        <f t="shared" si="7"/>
        <v/>
      </c>
      <c r="M49" s="10">
        <f t="shared" si="3"/>
        <v>47331</v>
      </c>
      <c r="N49" s="4">
        <f t="shared" si="8"/>
        <v>486.18212500000004</v>
      </c>
    </row>
    <row r="50" spans="5:14" x14ac:dyDescent="0.3">
      <c r="E50" s="7"/>
      <c r="F50" s="8">
        <v>36</v>
      </c>
      <c r="G50" s="10" t="str">
        <f t="shared" si="4"/>
        <v/>
      </c>
      <c r="H50" s="4" t="str">
        <f t="shared" si="6"/>
        <v/>
      </c>
      <c r="J50" s="10" t="str">
        <f t="shared" si="5"/>
        <v/>
      </c>
      <c r="K50" s="4" t="str">
        <f t="shared" si="7"/>
        <v/>
      </c>
      <c r="M50" s="10">
        <f t="shared" si="3"/>
        <v>47362</v>
      </c>
      <c r="N50" s="4">
        <f t="shared" si="8"/>
        <v>486.18212500000004</v>
      </c>
    </row>
    <row r="51" spans="5:14" x14ac:dyDescent="0.3">
      <c r="F51" s="8">
        <v>37</v>
      </c>
      <c r="G51" s="10" t="str">
        <f t="shared" si="4"/>
        <v/>
      </c>
      <c r="H51" s="4" t="str">
        <f t="shared" si="6"/>
        <v/>
      </c>
      <c r="J51" s="10" t="str">
        <f t="shared" si="5"/>
        <v/>
      </c>
      <c r="K51" s="4" t="str">
        <f t="shared" si="7"/>
        <v/>
      </c>
      <c r="M51" s="10">
        <f t="shared" si="3"/>
        <v>47392</v>
      </c>
      <c r="N51" s="4">
        <f t="shared" si="8"/>
        <v>486.18212500000004</v>
      </c>
    </row>
    <row r="52" spans="5:14" x14ac:dyDescent="0.3">
      <c r="F52" s="8">
        <v>38</v>
      </c>
      <c r="G52" s="10" t="str">
        <f t="shared" si="4"/>
        <v/>
      </c>
      <c r="H52" s="4" t="str">
        <f t="shared" si="6"/>
        <v/>
      </c>
      <c r="J52" s="10" t="str">
        <f t="shared" si="5"/>
        <v/>
      </c>
      <c r="K52" s="4" t="str">
        <f t="shared" si="7"/>
        <v/>
      </c>
      <c r="M52" s="10">
        <f t="shared" si="3"/>
        <v>47423</v>
      </c>
      <c r="N52" s="4">
        <f t="shared" si="8"/>
        <v>486.18212500000004</v>
      </c>
    </row>
    <row r="53" spans="5:14" x14ac:dyDescent="0.3">
      <c r="F53" s="8">
        <v>39</v>
      </c>
      <c r="G53" s="10" t="str">
        <f t="shared" si="4"/>
        <v/>
      </c>
      <c r="H53" s="4" t="str">
        <f t="shared" si="6"/>
        <v/>
      </c>
      <c r="J53" s="10" t="str">
        <f t="shared" si="5"/>
        <v/>
      </c>
      <c r="K53" s="4" t="str">
        <f t="shared" si="7"/>
        <v/>
      </c>
      <c r="M53" s="10">
        <f t="shared" si="3"/>
        <v>47453</v>
      </c>
      <c r="N53" s="4">
        <f t="shared" si="8"/>
        <v>486.18212500000004</v>
      </c>
    </row>
    <row r="54" spans="5:14" x14ac:dyDescent="0.3">
      <c r="F54" s="8">
        <v>40</v>
      </c>
      <c r="G54" s="10" t="str">
        <f t="shared" si="4"/>
        <v/>
      </c>
      <c r="H54" s="4" t="str">
        <f t="shared" si="6"/>
        <v/>
      </c>
      <c r="J54" s="10" t="str">
        <f t="shared" si="5"/>
        <v/>
      </c>
      <c r="K54" s="4" t="str">
        <f t="shared" si="7"/>
        <v/>
      </c>
      <c r="M54" s="10">
        <f t="shared" si="3"/>
        <v>47484</v>
      </c>
      <c r="N54" s="4">
        <f t="shared" si="8"/>
        <v>486.18212500000004</v>
      </c>
    </row>
    <row r="55" spans="5:14" x14ac:dyDescent="0.3">
      <c r="F55" s="8">
        <v>41</v>
      </c>
      <c r="G55" s="10" t="str">
        <f t="shared" si="4"/>
        <v/>
      </c>
      <c r="H55" s="4" t="str">
        <f t="shared" si="6"/>
        <v/>
      </c>
      <c r="J55" s="10" t="str">
        <f t="shared" si="5"/>
        <v/>
      </c>
      <c r="K55" s="4" t="str">
        <f t="shared" si="7"/>
        <v/>
      </c>
      <c r="M55" s="10">
        <f t="shared" si="3"/>
        <v>47515</v>
      </c>
      <c r="N55" s="4">
        <f t="shared" si="8"/>
        <v>486.18212500000004</v>
      </c>
    </row>
    <row r="56" spans="5:14" x14ac:dyDescent="0.3">
      <c r="F56" s="8">
        <v>42</v>
      </c>
      <c r="G56" s="10" t="str">
        <f t="shared" si="4"/>
        <v/>
      </c>
      <c r="H56" s="4" t="str">
        <f t="shared" si="6"/>
        <v/>
      </c>
      <c r="J56" s="10" t="str">
        <f t="shared" si="5"/>
        <v/>
      </c>
      <c r="K56" s="4" t="str">
        <f t="shared" si="7"/>
        <v/>
      </c>
      <c r="M56" s="10">
        <f t="shared" si="3"/>
        <v>47543</v>
      </c>
      <c r="N56" s="4">
        <f t="shared" si="8"/>
        <v>486.18212500000004</v>
      </c>
    </row>
    <row r="57" spans="5:14" x14ac:dyDescent="0.3">
      <c r="F57" s="8">
        <v>43</v>
      </c>
      <c r="G57" s="10" t="str">
        <f t="shared" si="4"/>
        <v/>
      </c>
      <c r="H57" s="4" t="str">
        <f t="shared" si="6"/>
        <v/>
      </c>
      <c r="J57" s="10" t="str">
        <f t="shared" si="5"/>
        <v/>
      </c>
      <c r="K57" s="4" t="str">
        <f t="shared" si="7"/>
        <v/>
      </c>
      <c r="M57" s="10">
        <f t="shared" si="3"/>
        <v>47574</v>
      </c>
      <c r="N57" s="4">
        <f t="shared" si="8"/>
        <v>486.18212500000004</v>
      </c>
    </row>
    <row r="58" spans="5:14" x14ac:dyDescent="0.3">
      <c r="F58" s="8">
        <v>44</v>
      </c>
      <c r="G58" s="10" t="str">
        <f t="shared" si="4"/>
        <v/>
      </c>
      <c r="H58" s="4" t="str">
        <f t="shared" si="6"/>
        <v/>
      </c>
      <c r="J58" s="10" t="str">
        <f t="shared" si="5"/>
        <v/>
      </c>
      <c r="K58" s="4" t="str">
        <f t="shared" si="7"/>
        <v/>
      </c>
      <c r="M58" s="10">
        <f t="shared" si="3"/>
        <v>47604</v>
      </c>
      <c r="N58" s="4">
        <f t="shared" si="8"/>
        <v>486.18212500000004</v>
      </c>
    </row>
    <row r="59" spans="5:14" x14ac:dyDescent="0.3">
      <c r="F59" s="8">
        <v>45</v>
      </c>
      <c r="G59" s="10" t="str">
        <f t="shared" si="4"/>
        <v/>
      </c>
      <c r="H59" s="4" t="str">
        <f t="shared" si="6"/>
        <v/>
      </c>
      <c r="J59" s="10" t="str">
        <f t="shared" si="5"/>
        <v/>
      </c>
      <c r="K59" s="4" t="str">
        <f t="shared" si="7"/>
        <v/>
      </c>
      <c r="M59" s="10">
        <f t="shared" si="3"/>
        <v>47635</v>
      </c>
      <c r="N59" s="4">
        <f t="shared" si="8"/>
        <v>486.18212500000004</v>
      </c>
    </row>
    <row r="60" spans="5:14" x14ac:dyDescent="0.3">
      <c r="F60" s="8">
        <v>46</v>
      </c>
      <c r="G60" s="10" t="str">
        <f t="shared" si="4"/>
        <v/>
      </c>
      <c r="H60" s="4" t="str">
        <f t="shared" si="6"/>
        <v/>
      </c>
      <c r="J60" s="10" t="str">
        <f t="shared" si="5"/>
        <v/>
      </c>
      <c r="K60" s="4" t="str">
        <f t="shared" si="7"/>
        <v/>
      </c>
      <c r="M60" s="10">
        <f t="shared" si="3"/>
        <v>47665</v>
      </c>
      <c r="N60" s="4">
        <f t="shared" si="8"/>
        <v>486.18212500000004</v>
      </c>
    </row>
    <row r="61" spans="5:14" x14ac:dyDescent="0.3">
      <c r="F61" s="8">
        <v>47</v>
      </c>
      <c r="G61" s="10" t="str">
        <f t="shared" si="4"/>
        <v/>
      </c>
      <c r="H61" s="4" t="str">
        <f t="shared" si="6"/>
        <v/>
      </c>
      <c r="J61" s="10" t="str">
        <f t="shared" si="5"/>
        <v/>
      </c>
      <c r="K61" s="4" t="str">
        <f t="shared" si="7"/>
        <v/>
      </c>
      <c r="M61" s="10">
        <f t="shared" si="3"/>
        <v>47696</v>
      </c>
      <c r="N61" s="4">
        <f t="shared" si="8"/>
        <v>486.18212500000004</v>
      </c>
    </row>
    <row r="62" spans="5:14" x14ac:dyDescent="0.3">
      <c r="F62" s="8">
        <v>48</v>
      </c>
      <c r="G62" s="10" t="str">
        <f t="shared" si="4"/>
        <v/>
      </c>
      <c r="H62" s="4" t="str">
        <f t="shared" si="6"/>
        <v/>
      </c>
      <c r="J62" s="10" t="str">
        <f t="shared" si="5"/>
        <v/>
      </c>
      <c r="K62" s="4" t="str">
        <f t="shared" si="7"/>
        <v/>
      </c>
      <c r="M62" s="10" t="str">
        <f t="shared" si="3"/>
        <v/>
      </c>
      <c r="N62" s="4" t="str">
        <f t="shared" si="8"/>
        <v/>
      </c>
    </row>
    <row r="63" spans="5:14" x14ac:dyDescent="0.3">
      <c r="F63" s="8">
        <v>49</v>
      </c>
      <c r="G63" s="10" t="str">
        <f t="shared" si="4"/>
        <v/>
      </c>
      <c r="H63" s="4" t="str">
        <f t="shared" si="6"/>
        <v/>
      </c>
      <c r="J63" s="10" t="str">
        <f t="shared" si="5"/>
        <v/>
      </c>
      <c r="K63" s="4" t="str">
        <f t="shared" si="7"/>
        <v/>
      </c>
      <c r="M63" s="10" t="str">
        <f t="shared" si="3"/>
        <v/>
      </c>
      <c r="N63" s="4" t="str">
        <f t="shared" si="8"/>
        <v/>
      </c>
    </row>
    <row r="65" spans="2:2" x14ac:dyDescent="0.3">
      <c r="B65">
        <f>5*12</f>
        <v>60</v>
      </c>
    </row>
  </sheetData>
  <mergeCells count="2">
    <mergeCell ref="B23:B24"/>
    <mergeCell ref="D23:D24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FD3270-B058-4026-9A59-43D0B5AFF4AC}">
          <x14:formula1>
            <xm:f>'TABELA DE PREÇO'!$F$4:$F$100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SIMULAÇÃO EA</vt:lpstr>
      <vt:lpstr>OFERTA EA FORTINET</vt:lpstr>
      <vt:lpstr>TABELA DE PREÇO</vt:lpstr>
      <vt:lpstr>VALOR HARDWARE</vt:lpstr>
      <vt:lpstr>OFERTA EA FORTINET OLD</vt:lpstr>
    </vt:vector>
  </TitlesOfParts>
  <Company>Claro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SERGIO LUCIANO</dc:creator>
  <cp:lastModifiedBy>Julio Johnson Costa de Araujo</cp:lastModifiedBy>
  <dcterms:created xsi:type="dcterms:W3CDTF">2026-03-03T00:03:11Z</dcterms:created>
  <dcterms:modified xsi:type="dcterms:W3CDTF">2026-09-23T21:51:16Z</dcterms:modified>
</cp:coreProperties>
</file>